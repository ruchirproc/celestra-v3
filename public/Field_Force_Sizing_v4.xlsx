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rocdna-my.sharepoint.com/personal/ruchir_tyagi_procdna_com/Documents/Documents/Internal/Claude POC/Sizing/Output/"/>
    </mc:Choice>
  </mc:AlternateContent>
  <xr:revisionPtr revIDLastSave="0" documentId="8_{1A75C0B1-C3B8-4047-91D1-8DC330FBDE52}" xr6:coauthVersionLast="47" xr6:coauthVersionMax="47" xr10:uidLastSave="{00000000-0000-0000-0000-000000000000}"/>
  <bookViews>
    <workbookView xWindow="-120" yWindow="-16320" windowWidth="29040" windowHeight="15720" tabRatio="500" xr2:uid="{00000000-000D-0000-FFFF-FFFF00000000}"/>
  </bookViews>
  <sheets>
    <sheet name="Summary" sheetId="1" r:id="rId1"/>
    <sheet name="Inputs" sheetId="2" r:id="rId2"/>
    <sheet name="Normal_Workload" sheetId="3" r:id="rId3"/>
    <sheet name="Reach_Scenario" sheetId="4" r:id="rId4"/>
    <sheet name="Frequency_Scenario" sheetId="5" r:id="rId5"/>
    <sheet name="Segment_Scenario" sheetId="6" r:id="rId6"/>
    <sheet name="Diagnostics_QA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8" i="6" l="1"/>
  <c r="E38" i="6"/>
  <c r="G38" i="6" s="1"/>
  <c r="C38" i="6"/>
  <c r="H37" i="6"/>
  <c r="F37" i="6"/>
  <c r="C37" i="6"/>
  <c r="E37" i="6" s="1"/>
  <c r="G37" i="6" s="1"/>
  <c r="I37" i="6" s="1"/>
  <c r="F36" i="6"/>
  <c r="C36" i="6"/>
  <c r="E36" i="6" s="1"/>
  <c r="G36" i="6" s="1"/>
  <c r="I36" i="6" s="1"/>
  <c r="H35" i="6"/>
  <c r="F35" i="6"/>
  <c r="C35" i="6"/>
  <c r="E35" i="6" s="1"/>
  <c r="G35" i="6" s="1"/>
  <c r="I35" i="6" s="1"/>
  <c r="F34" i="6"/>
  <c r="E34" i="6"/>
  <c r="G34" i="6" s="1"/>
  <c r="C34" i="6"/>
  <c r="H33" i="6"/>
  <c r="F33" i="6"/>
  <c r="C33" i="6"/>
  <c r="E33" i="6" s="1"/>
  <c r="G33" i="6" s="1"/>
  <c r="I33" i="6" s="1"/>
  <c r="F32" i="6"/>
  <c r="C32" i="6"/>
  <c r="E32" i="6" s="1"/>
  <c r="G32" i="6" s="1"/>
  <c r="H31" i="6"/>
  <c r="F31" i="6"/>
  <c r="C31" i="6"/>
  <c r="E31" i="6" s="1"/>
  <c r="G31" i="6" s="1"/>
  <c r="F25" i="6"/>
  <c r="C25" i="6"/>
  <c r="E25" i="6" s="1"/>
  <c r="G25" i="6" s="1"/>
  <c r="I25" i="6" s="1"/>
  <c r="H24" i="6"/>
  <c r="F24" i="6"/>
  <c r="C24" i="6"/>
  <c r="E24" i="6" s="1"/>
  <c r="G24" i="6" s="1"/>
  <c r="I24" i="6" s="1"/>
  <c r="F23" i="6"/>
  <c r="E23" i="6"/>
  <c r="G23" i="6" s="1"/>
  <c r="C23" i="6"/>
  <c r="H22" i="6"/>
  <c r="F22" i="6"/>
  <c r="C22" i="6"/>
  <c r="E22" i="6" s="1"/>
  <c r="G22" i="6" s="1"/>
  <c r="I22" i="6" s="1"/>
  <c r="F21" i="6"/>
  <c r="C21" i="6"/>
  <c r="E21" i="6" s="1"/>
  <c r="G21" i="6" s="1"/>
  <c r="H20" i="6"/>
  <c r="F20" i="6"/>
  <c r="C20" i="6"/>
  <c r="E20" i="6" s="1"/>
  <c r="G20" i="6" s="1"/>
  <c r="I20" i="6" s="1"/>
  <c r="F19" i="6"/>
  <c r="E19" i="6"/>
  <c r="G19" i="6" s="1"/>
  <c r="C19" i="6"/>
  <c r="H18" i="6"/>
  <c r="F18" i="6"/>
  <c r="C18" i="6"/>
  <c r="E18" i="6" s="1"/>
  <c r="G18" i="6" s="1"/>
  <c r="F12" i="6"/>
  <c r="E12" i="6"/>
  <c r="G12" i="6" s="1"/>
  <c r="C12" i="6"/>
  <c r="H11" i="6"/>
  <c r="F11" i="6"/>
  <c r="C11" i="6"/>
  <c r="E11" i="6" s="1"/>
  <c r="G11" i="6" s="1"/>
  <c r="I11" i="6" s="1"/>
  <c r="F10" i="6"/>
  <c r="C10" i="6"/>
  <c r="E10" i="6" s="1"/>
  <c r="G10" i="6" s="1"/>
  <c r="H9" i="6"/>
  <c r="F9" i="6"/>
  <c r="C9" i="6"/>
  <c r="E9" i="6" s="1"/>
  <c r="G9" i="6" s="1"/>
  <c r="I9" i="6" s="1"/>
  <c r="F8" i="6"/>
  <c r="E8" i="6"/>
  <c r="G8" i="6" s="1"/>
  <c r="C8" i="6"/>
  <c r="H7" i="6"/>
  <c r="F7" i="6"/>
  <c r="C7" i="6"/>
  <c r="E7" i="6" s="1"/>
  <c r="G7" i="6" s="1"/>
  <c r="I7" i="6" s="1"/>
  <c r="F6" i="6"/>
  <c r="C6" i="6"/>
  <c r="E6" i="6" s="1"/>
  <c r="G6" i="6" s="1"/>
  <c r="H5" i="6"/>
  <c r="F5" i="6"/>
  <c r="C5" i="6"/>
  <c r="E5" i="6" s="1"/>
  <c r="G5" i="6" s="1"/>
  <c r="C30" i="5"/>
  <c r="B30" i="5"/>
  <c r="D30" i="5" s="1"/>
  <c r="F30" i="5" s="1"/>
  <c r="C29" i="5"/>
  <c r="B29" i="5"/>
  <c r="D29" i="5" s="1"/>
  <c r="F29" i="5" s="1"/>
  <c r="C28" i="5"/>
  <c r="B28" i="5"/>
  <c r="D28" i="5" s="1"/>
  <c r="F28" i="5" s="1"/>
  <c r="C27" i="5"/>
  <c r="B27" i="5"/>
  <c r="D27" i="5" s="1"/>
  <c r="C19" i="5"/>
  <c r="D19" i="5" s="1"/>
  <c r="B19" i="5"/>
  <c r="E18" i="5"/>
  <c r="D18" i="5"/>
  <c r="F18" i="5" s="1"/>
  <c r="C18" i="5"/>
  <c r="B18" i="5"/>
  <c r="E17" i="5"/>
  <c r="F17" i="5" s="1"/>
  <c r="D17" i="5"/>
  <c r="C17" i="5"/>
  <c r="B17" i="5"/>
  <c r="C16" i="5"/>
  <c r="B16" i="5"/>
  <c r="D16" i="5" s="1"/>
  <c r="C8" i="5"/>
  <c r="B8" i="5"/>
  <c r="D8" i="5" s="1"/>
  <c r="F8" i="5" s="1"/>
  <c r="C7" i="5"/>
  <c r="B7" i="5"/>
  <c r="D7" i="5" s="1"/>
  <c r="F7" i="5" s="1"/>
  <c r="C6" i="5"/>
  <c r="B6" i="5"/>
  <c r="D6" i="5" s="1"/>
  <c r="F6" i="5" s="1"/>
  <c r="C5" i="5"/>
  <c r="B5" i="5"/>
  <c r="D5" i="5" s="1"/>
  <c r="B30" i="4"/>
  <c r="D30" i="4" s="1"/>
  <c r="B29" i="4"/>
  <c r="D29" i="4" s="1"/>
  <c r="B28" i="4"/>
  <c r="D28" i="4" s="1"/>
  <c r="B27" i="4"/>
  <c r="D27" i="4" s="1"/>
  <c r="C19" i="4"/>
  <c r="D19" i="4" s="1"/>
  <c r="B19" i="4"/>
  <c r="E18" i="4"/>
  <c r="D18" i="4"/>
  <c r="F18" i="4" s="1"/>
  <c r="C18" i="4"/>
  <c r="B18" i="4"/>
  <c r="E17" i="4"/>
  <c r="F17" i="4" s="1"/>
  <c r="D17" i="4"/>
  <c r="C17" i="4"/>
  <c r="B17" i="4"/>
  <c r="C16" i="4"/>
  <c r="B16" i="4"/>
  <c r="D16" i="4" s="1"/>
  <c r="B8" i="4"/>
  <c r="D8" i="4" s="1"/>
  <c r="E7" i="4"/>
  <c r="B7" i="4"/>
  <c r="D7" i="4" s="1"/>
  <c r="F7" i="4" s="1"/>
  <c r="B6" i="4"/>
  <c r="D6" i="4" s="1"/>
  <c r="E5" i="4"/>
  <c r="B5" i="4"/>
  <c r="D5" i="4" s="1"/>
  <c r="E9" i="3"/>
  <c r="H25" i="6" s="1"/>
  <c r="B9" i="3"/>
  <c r="D9" i="3" s="1"/>
  <c r="F9" i="3" s="1"/>
  <c r="E8" i="3"/>
  <c r="H36" i="6" s="1"/>
  <c r="B8" i="3"/>
  <c r="D8" i="3" s="1"/>
  <c r="F8" i="3" s="1"/>
  <c r="E7" i="3"/>
  <c r="H21" i="6" s="1"/>
  <c r="B7" i="3"/>
  <c r="D7" i="3" s="1"/>
  <c r="F7" i="3" s="1"/>
  <c r="E6" i="3"/>
  <c r="H32" i="6" s="1"/>
  <c r="B6" i="3"/>
  <c r="D6" i="3" s="1"/>
  <c r="E2" i="3"/>
  <c r="B22" i="2"/>
  <c r="B6" i="2"/>
  <c r="B47" i="7" s="1"/>
  <c r="D20" i="4" l="1"/>
  <c r="D9" i="5"/>
  <c r="F5" i="5"/>
  <c r="F9" i="5" s="1"/>
  <c r="G9" i="5" s="1"/>
  <c r="H9" i="5" s="1"/>
  <c r="G39" i="6"/>
  <c r="I31" i="6"/>
  <c r="F6" i="3"/>
  <c r="F10" i="3" s="1"/>
  <c r="G10" i="3" s="1"/>
  <c r="H16" i="3" s="1"/>
  <c r="D10" i="3"/>
  <c r="B41" i="7" s="1"/>
  <c r="D9" i="4"/>
  <c r="F5" i="4"/>
  <c r="I18" i="6"/>
  <c r="G26" i="6"/>
  <c r="F19" i="5"/>
  <c r="I21" i="6"/>
  <c r="I32" i="6"/>
  <c r="D31" i="4"/>
  <c r="F27" i="5"/>
  <c r="F31" i="5" s="1"/>
  <c r="G31" i="5" s="1"/>
  <c r="H31" i="5" s="1"/>
  <c r="D31" i="5"/>
  <c r="G13" i="6"/>
  <c r="I5" i="6"/>
  <c r="I19" i="6"/>
  <c r="F30" i="4"/>
  <c r="F16" i="5"/>
  <c r="F20" i="5" s="1"/>
  <c r="G20" i="5" s="1"/>
  <c r="H20" i="5" s="1"/>
  <c r="D20" i="5"/>
  <c r="F28" i="4"/>
  <c r="I8" i="6"/>
  <c r="E6" i="4"/>
  <c r="F6" i="4" s="1"/>
  <c r="E27" i="4"/>
  <c r="F27" i="4" s="1"/>
  <c r="E29" i="4"/>
  <c r="F29" i="4" s="1"/>
  <c r="E19" i="5"/>
  <c r="H8" i="6"/>
  <c r="H12" i="6"/>
  <c r="I12" i="6" s="1"/>
  <c r="H19" i="6"/>
  <c r="H23" i="6"/>
  <c r="I23" i="6" s="1"/>
  <c r="H34" i="6"/>
  <c r="I34" i="6" s="1"/>
  <c r="H38" i="6"/>
  <c r="I38" i="6" s="1"/>
  <c r="B43" i="7"/>
  <c r="B42" i="7"/>
  <c r="E8" i="4"/>
  <c r="F8" i="4" s="1"/>
  <c r="E19" i="4"/>
  <c r="F19" i="4" s="1"/>
  <c r="E16" i="4"/>
  <c r="F16" i="4" s="1"/>
  <c r="F20" i="4" s="1"/>
  <c r="G20" i="4" s="1"/>
  <c r="H20" i="4" s="1"/>
  <c r="E16" i="5"/>
  <c r="B44" i="7"/>
  <c r="B45" i="7"/>
  <c r="B46" i="7"/>
  <c r="E28" i="4"/>
  <c r="E30" i="4"/>
  <c r="H6" i="6"/>
  <c r="I6" i="6" s="1"/>
  <c r="H10" i="6"/>
  <c r="I10" i="6" s="1"/>
  <c r="B50" i="1" l="1"/>
  <c r="C17" i="1"/>
  <c r="F31" i="4"/>
  <c r="G31" i="4" s="1"/>
  <c r="H31" i="4" s="1"/>
  <c r="I26" i="6"/>
  <c r="J26" i="6" s="1"/>
  <c r="H27" i="6" s="1"/>
  <c r="F9" i="4"/>
  <c r="G9" i="4" s="1"/>
  <c r="H9" i="4" s="1"/>
  <c r="B48" i="1"/>
  <c r="C15" i="1"/>
  <c r="D15" i="1" s="1"/>
  <c r="C20" i="1"/>
  <c r="D20" i="1" s="1"/>
  <c r="B53" i="1"/>
  <c r="C21" i="1"/>
  <c r="B54" i="1"/>
  <c r="I39" i="6"/>
  <c r="J39" i="6" s="1"/>
  <c r="H40" i="6" s="1"/>
  <c r="B52" i="1"/>
  <c r="C19" i="1"/>
  <c r="D19" i="1" s="1"/>
  <c r="I13" i="6"/>
  <c r="J13" i="6" s="1"/>
  <c r="H14" i="6" s="1"/>
  <c r="B49" i="1" l="1"/>
  <c r="C16" i="1"/>
  <c r="D16" i="1" s="1"/>
  <c r="C22" i="1"/>
  <c r="D22" i="1" s="1"/>
  <c r="B55" i="1"/>
  <c r="C24" i="1"/>
  <c r="D24" i="1" s="1"/>
  <c r="B57" i="1"/>
  <c r="B51" i="1"/>
  <c r="C18" i="1"/>
  <c r="D18" i="1" s="1"/>
  <c r="B56" i="1"/>
  <c r="C23" i="1"/>
  <c r="D23" i="1" s="1"/>
  <c r="D21" i="1"/>
  <c r="D17" i="1"/>
</calcChain>
</file>

<file path=xl/sharedStrings.xml><?xml version="1.0" encoding="utf-8"?>
<sst xmlns="http://schemas.openxmlformats.org/spreadsheetml/2006/main" count="416" uniqueCount="243">
  <si>
    <t>NIKTIMVO™ (Axatilimab-csfr) Field Force Sizing  |  cGVHD  |  United States</t>
  </si>
  <si>
    <t>Drug / Brand:</t>
  </si>
  <si>
    <t>Niktimvo™ (axatilimab-csfr)</t>
  </si>
  <si>
    <t>Indication:</t>
  </si>
  <si>
    <t>Chronic GVHD (cGVHD) — ≥2 prior lines of systemic therapy</t>
  </si>
  <si>
    <t>Geography:</t>
  </si>
  <si>
    <t>United States</t>
  </si>
  <si>
    <t>Market Type:</t>
  </si>
  <si>
    <t>RARE DISEASE (US Orphan Drug Act threshold; ~17,000 cGVHD patients US; narrow allo-HSCT center-of-excellence model)</t>
  </si>
  <si>
    <t>Market Confidence:</t>
  </si>
  <si>
    <t>High — FDA orphan drug approval Aug 2024; first-in-class anti-CSF-1R</t>
  </si>
  <si>
    <t>Date:</t>
  </si>
  <si>
    <t>June 2026</t>
  </si>
  <si>
    <t>Total Target HCPs:</t>
  </si>
  <si>
    <t>12,140</t>
  </si>
  <si>
    <t>COMPETITOR SALESFORCE-SIZING BENCHMARK</t>
  </si>
  <si>
    <t>Competitor benchmarks (cGVHD 3rd-line specialty setting): Belumosudil (Rezurock/Kadmon–Sanofi) launched 2021 with a focused specialty sales team (~20–40 GVHD-specialist reps at launch per public earnings commentary and allo-HSCT center footprint); Ruxolitinib (Jakafi/Incyte) — large hematology oncology field &gt;500 reps but multi-indication, not GVHD-specific. No reliable public salesforce-size number was found for Niktimvo (Incyte+Syndax co-commercialized). Assessment: cGVHD is a narrow rare-disease market served by allo-HSCT centers of excellence; competitive benchmarks support a SMALL, HIGHLY FOCUSED specialist field force in the 20–60 rep range. This benchmark supports lower-intensity rare-disease reach/call defaults and validates Conservative–Moderate sizing.</t>
  </si>
  <si>
    <t>REP COUNT DASHBOARD  — All 10 Scenario Outputs</t>
  </si>
  <si>
    <t>Scenario Family</t>
  </si>
  <si>
    <t>Sub-Scenario</t>
  </si>
  <si>
    <t>Reps Required</t>
  </si>
  <si>
    <t>vs. Normal Workload</t>
  </si>
  <si>
    <t>Notes</t>
  </si>
  <si>
    <t>Normal Workload (Baseline)</t>
  </si>
  <si>
    <t>Normal Workload</t>
  </si>
  <si>
    <t>BASELINE — Moderate reach, Standard frequency, Balanced segment</t>
  </si>
  <si>
    <t>Reach</t>
  </si>
  <si>
    <t>Aggressive</t>
  </si>
  <si>
    <t>Max reach; capped at rare-disease starting anchor (90% T1)</t>
  </si>
  <si>
    <t>Moderate ★ Baseline</t>
  </si>
  <si>
    <t>Equal to Normal Workload reach</t>
  </si>
  <si>
    <t>Conservative</t>
  </si>
  <si>
    <t>Lower reach; cost-sensitive scenario</t>
  </si>
  <si>
    <t>Frequency</t>
  </si>
  <si>
    <t>High-touch</t>
  </si>
  <si>
    <t>One step above Standard calls/HCP/yr</t>
  </si>
  <si>
    <t>Standard ★ Baseline</t>
  </si>
  <si>
    <t>Equal to Normal Workload calls/HCP/yr</t>
  </si>
  <si>
    <t>Low-touch</t>
  </si>
  <si>
    <t>One step below Standard; minimum 6 calls/yr</t>
  </si>
  <si>
    <t>Segment</t>
  </si>
  <si>
    <t>Premium-tilt</t>
  </si>
  <si>
    <t>Higher share of High-intensity HCPs</t>
  </si>
  <si>
    <t>Balanced ★ Baseline</t>
  </si>
  <si>
    <t>Reference segment mix</t>
  </si>
  <si>
    <t>Cost-aware</t>
  </si>
  <si>
    <t>More Low-intensity HCPs in each tier</t>
  </si>
  <si>
    <t>CHART: Reps Required Across All 10 Scenarios  (embedded bar chart below — auto-updates with inputs)</t>
  </si>
  <si>
    <t>RECOMMENDATION</t>
  </si>
  <si>
    <t>Recommended sizing: NORMAL WORKLOAD baseline (Moderate reach / Standard frequency / Balanced segment). For a new launch (Aug 2024) in a rare-disease, center-of-excellence market (~17,000 cGVHD patients, ~14,000 needing systemic therapy, ~8,000 eligible ≥2L), the sizing model yields a focused specialist field force. Recommended rep count = Normal Workload output (see cell C15). Strategic range for leadership review: Conservative to Moderate reach scenario. Competitive benchmarks (Rezurock launch ~20–40 reps; allo-HSCT specialty footprint) confirm a lean, high-touch specialist model is appropriate. Do NOT default to broad oncology field force benchmarks — the accessible patient population is far more concentrated. Sources: FDA label (Aug 2024); Pharmacy Times (Feb 2025); FiercePharma Rezurock launch coverage (Jul 2021); cGVHD prevalence: ~17,000 US (Pharmacy Times 2025); AGAVE-201 (NEJM/AACRJNCI 2025).</t>
  </si>
  <si>
    <t>KEY ASSUMPTION RATIONALE</t>
  </si>
  <si>
    <t>• Market Type: RARE — cGVHD affects ~17,000 US patients; ~14,000 need systemic therapy; ≥2L eligible ~8,400. FDA Orphan Drug Act threshold (&lt;200k). Rare-disease defaults applied.</t>
  </si>
  <si>
    <t>• Reach: Rare-market anchors — T1 (Seg A) 90%, T2 (Seg B) 75%, T3 (Seg C) 60%, T4 (Seg D) 45%. Rare top-tier starting anchor (90%) per skill rules.</t>
  </si>
  <si>
    <t>• Calls/HCP/yr: Rare-market standard — T1=18, T2=12, T3=6, T4=6 (all multiples of 6). New launch adjustment: T1/T2 bumped one step vs. mature therapy baseline.</t>
  </si>
  <si>
    <t>• Capacity: 220 working days/year, 6 calls/day = 1,320 calls/rep/year (standard rare/specialty field force).</t>
  </si>
  <si>
    <t>• Segment: Tiers use HCPTIER field (Segment A–D). No ENG-2 field detected in dataset; not modeled.</t>
  </si>
  <si>
    <t>• No 100% reach seeded; all reach values capped at max reach cap (90% for rare). CEILING used for all rep counts.</t>
  </si>
  <si>
    <t>Scenario Label</t>
  </si>
  <si>
    <t>Reach — Aggressive</t>
  </si>
  <si>
    <t>Reach — Moderate</t>
  </si>
  <si>
    <t>Reach — Conservative</t>
  </si>
  <si>
    <t>Freq — High-touch</t>
  </si>
  <si>
    <t>Freq — Standard</t>
  </si>
  <si>
    <t>Freq — Low-touch</t>
  </si>
  <si>
    <t>Seg — Premium-tilt</t>
  </si>
  <si>
    <t>Seg — Balanced</t>
  </si>
  <si>
    <t>Seg — Cost-aware</t>
  </si>
  <si>
    <t>INPUTS — Generic Workbook Levers (Edit Yellow Cells)</t>
  </si>
  <si>
    <t>CAPACITY PARAMETERS</t>
  </si>
  <si>
    <t>Working Days / Year</t>
  </si>
  <si>
    <t>Productive field days per rep per year</t>
  </si>
  <si>
    <t>Calls / Day</t>
  </si>
  <si>
    <t>Base rep daily call productivity</t>
  </si>
  <si>
    <t>Rep Annual Capacity</t>
  </si>
  <si>
    <t>Working Days × Calls/Day</t>
  </si>
  <si>
    <t>MARKET INTELLIGENCE</t>
  </si>
  <si>
    <t>Drug</t>
  </si>
  <si>
    <t>Brand name of drug being sized</t>
  </si>
  <si>
    <t>Indication</t>
  </si>
  <si>
    <t>FDA-approved indication</t>
  </si>
  <si>
    <t>Geography</t>
  </si>
  <si>
    <t>Commercial reference market</t>
  </si>
  <si>
    <t>Market Type Classification</t>
  </si>
  <si>
    <t>RARE</t>
  </si>
  <si>
    <t>US Orphan Drug Act: &lt;200,000 patients; cGVHD ~17,000 US</t>
  </si>
  <si>
    <t>Market Confidence</t>
  </si>
  <si>
    <t>High</t>
  </si>
  <si>
    <t>FDA approved Aug 2024; clear rare-disease epidemiology</t>
  </si>
  <si>
    <t>Competitor Benchmark Range</t>
  </si>
  <si>
    <t>~20–40 specialist reps (inferred from Rezurock/Kadmon launch footprint)</t>
  </si>
  <si>
    <t>See Diagnostics_QA for full evidence</t>
  </si>
  <si>
    <t>Max Reach Cap (%)</t>
  </si>
  <si>
    <t>Rare-disease top-tier cap. Editable. Never set above 0.90 for rare.</t>
  </si>
  <si>
    <t>HCP COUNTS BY TIER (from dataset)</t>
  </si>
  <si>
    <t>Segment A (Tier 1) — HCP Count</t>
  </si>
  <si>
    <t>Source: Sizing_Input.xlsx</t>
  </si>
  <si>
    <t>Segment B (Tier 2) — HCP Count</t>
  </si>
  <si>
    <t>Segment C (Tier 3) — HCP Count</t>
  </si>
  <si>
    <t>Segment D (Tier 4) — HCP Count</t>
  </si>
  <si>
    <t>Total HCPs</t>
  </si>
  <si>
    <t>Sum of all tiers</t>
  </si>
  <si>
    <t>BASE CALLS/HCP/YEAR (Rare Disease — New Launch Anchors)</t>
  </si>
  <si>
    <t>Segment A (Tier 1) — Calls/HCP/Yr</t>
  </si>
  <si>
    <t>Rare T1 baseline. Multiple of 6. Editable.</t>
  </si>
  <si>
    <t>Segment B (Tier 2) — Calls/HCP/Yr</t>
  </si>
  <si>
    <t>Rare T2 baseline. Multiple of 6. Editable.</t>
  </si>
  <si>
    <t>Segment C (Tier 3) — Calls/HCP/Yr</t>
  </si>
  <si>
    <t>Rare T3 baseline. Multiple of 6. Editable.</t>
  </si>
  <si>
    <t>Segment D (Tier 4) — Calls/HCP/Yr</t>
  </si>
  <si>
    <t>Rare T4 baseline. Multiple of 6. Editable.</t>
  </si>
  <si>
    <t>NORMAL WORKLOAD — Baseline Scenario (Moderate Reach / Standard Frequency / Balanced Segment)</t>
  </si>
  <si>
    <t>Rep Annual Capacity =  Working Days × Calls/Day</t>
  </si>
  <si>
    <t>calls/rep/year</t>
  </si>
  <si>
    <t>Baseline reach (Moderate / Rare-market anchors):</t>
  </si>
  <si>
    <t>T1 = 90%  |  T2 = 75%  |  T3 = 60%  |  T4 = 45%   [editable below in yellow — capped at Inputs!B15]</t>
  </si>
  <si>
    <t>Tier</t>
  </si>
  <si>
    <t>HCP Count</t>
  </si>
  <si>
    <t>Reach %</t>
  </si>
  <si>
    <t>Effective HCPs</t>
  </si>
  <si>
    <t>Calls/HCP/Year</t>
  </si>
  <si>
    <t>Total Calls</t>
  </si>
  <si>
    <t>Segment A</t>
  </si>
  <si>
    <t>Segment B</t>
  </si>
  <si>
    <t>Segment C</t>
  </si>
  <si>
    <t>Segment D</t>
  </si>
  <si>
    <t>TOTAL / REPS REQUIRED</t>
  </si>
  <si>
    <t>—</t>
  </si>
  <si>
    <t>Normal Workload = Moderate reach (rare anchors: T1 90%, T2 75%, T3 60%, T4 45%) × Standard frequency (T1 18, T2 12, T3 6, T4 6 calls/HCP/yr) × Balanced segment mix. Edit yellow cells to override defaults. All reach values must remain ≤ Inputs!B15 (90% rare cap).</t>
  </si>
  <si>
    <t>REACH SCENARIO — Only Reach % changes. Calls/HCP/yr fixed from Normal_Workload.</t>
  </si>
  <si>
    <t>Aggressive Reach (Top-tier at rare cap; lower tiers tapered)</t>
  </si>
  <si>
    <t>Moderate Reach ★ BASELINE (Equal to Normal_Workload — Rare anchors)</t>
  </si>
  <si>
    <t>Conservative Reach (Lower coverage; cost-sensitive or access-constrained)</t>
  </si>
  <si>
    <t>PARITY: Calls/HCP/yr on every tier is formula-linked from Normal_Workload. Only reach % changes across sub-scenarios. Max reach cap = Inputs!B15 (90% for rare market). Moderate reach = Normal_Workload by formula.</t>
  </si>
  <si>
    <t>FREQUENCY SCENARIO — Only Calls/HCP/yr changes. Reach % fixed from Normal_Workload.</t>
  </si>
  <si>
    <t>High-touch Frequency (One step above Standard; T1=24, T2=18, T3=12, T4=6)</t>
  </si>
  <si>
    <t>Standard Frequency ★ BASELINE (Equal to Normal_Workload calls/HCP/yr)</t>
  </si>
  <si>
    <t>Low-touch Frequency (One step below Standard; minimum 6; T1=12, T2=6, T3=6, T4=6)</t>
  </si>
  <si>
    <t>PARITY: Reach % on every tier is formula-linked from Normal_Workload. Only calls/HCP/yr changes. All calls/HCP/yr values are multiples of 6; minimum = 6. Standard calls/HCP/yr = Normal_Workload. If Standard is already 6, Low-touch may equal 6.</t>
  </si>
  <si>
    <t>SEGMENT SCENARIO — Only High/Low segment split changes. Reach and Calls fixed from Normal_Workload.</t>
  </si>
  <si>
    <t>Premium-tilt (Higher share of High-intensity HCPs in each tier)</t>
  </si>
  <si>
    <t>Split %</t>
  </si>
  <si>
    <t>Segment HCPs</t>
  </si>
  <si>
    <t>Calls/HCP/yr</t>
  </si>
  <si>
    <t>Low</t>
  </si>
  <si>
    <t>Balanced ★ BASELINE (Reference segment mix)</t>
  </si>
  <si>
    <t>Cost-aware (More Low-intensity HCPs; conservative resource deployment)</t>
  </si>
  <si>
    <t>DIAGNOSTICS &amp; QA  —  Background tab. Not for leadership distribution.</t>
  </si>
  <si>
    <t>1. MARKET CLASSIFICATION EVIDENCE</t>
  </si>
  <si>
    <t>Chronic graft-versus-host disease (cGVHD) after ≥2 prior lines of systemic therapy</t>
  </si>
  <si>
    <t>Classification</t>
  </si>
  <si>
    <t>RARE — US Orphan Drug Act threshold: &lt;200,000 patients. cGVHD affects ~17,000 US individuals. FDA granted Orphan Drug Designation. First US approval August 14, 2024.</t>
  </si>
  <si>
    <t>Source 1</t>
  </si>
  <si>
    <t>Pharmacy Times, Feb 2025: 'cGVHD occurs after an allogeneic stem cell transplant in around 42% of transplant recipients and impacts approximately 17,000 US individuals.' URL: pharmacytimes.com/view/fda-approves-axatilimab-csfr-9-mg-and-22-mg-vial-sizes-for-cgvhd. Accessed: June 2026.</t>
  </si>
  <si>
    <t>Source 2</t>
  </si>
  <si>
    <t>FDA approval summary: AACRJNCI CCR, Sep 2025. axatilimab approved Aug 14, 2024 for cGVHD ≥2L. URL: aacrjournals.org/clincancerres/article/31/17/3607. Accessed: June 2026.</t>
  </si>
  <si>
    <t>Source 3</t>
  </si>
  <si>
    <t>FDA label (NIKTIMVO), Aug 2024: orphan indication, IV infusion every 2 weeks. URL: accessdata.fda.gov/drugsatfda_docs/label/2024/761411s000lbl.pdf. Accessed: June 2026.</t>
  </si>
  <si>
    <t>Confidence</t>
  </si>
  <si>
    <t>HIGH — clear orphan-drug classification, well-characterized prevalence, FDA-approved label confirms indication scope.</t>
  </si>
  <si>
    <t>2. COMPETITOR SALESFORCE-SIZING EVIDENCE</t>
  </si>
  <si>
    <t>Competitor 1</t>
  </si>
  <si>
    <t>Belumosudil (Rezurock) — Kadmon/Sanofi. Same indication: cGVHD ≥2L. Approved July 2021.</t>
  </si>
  <si>
    <t>Rezurock SF Size</t>
  </si>
  <si>
    <t>Inferred ~20–40 specialty reps at launch. FiercePharma (Jul 2021): Kadmon CCO Taitel referenced a 'primed sales team' focused on allo-HSCT centers and transplant hematology specialists; estimated 14,000 patients/yr needing systemic therapy. No exact number published. Source: fiercepharma.com/pharma/kadmon-eyes-15-5k-pricetag. Accessed: June 2026.</t>
  </si>
  <si>
    <t>Rezurock Influence</t>
  </si>
  <si>
    <t>This benchmark supports a LEAN specialist field force. A broad general oncology deployment would be over-resourced for the concentrated cGVHD care pathway (allo-HSCT centers, transplant hematologists).</t>
  </si>
  <si>
    <t>Competitor 2</t>
  </si>
  <si>
    <t>Ruxolitinib (Jakafi) — Incyte. Approved for cGVHD but large multi-indication product (MF, PV, aGVHD, cGVHD). Hematology oncology field &gt;500+ reps; NOT a reliable benchmark for cGVHD-specific sizing.</t>
  </si>
  <si>
    <t>Niktimvo SF</t>
  </si>
  <si>
    <t>No reliable public salesforce-size number found for Niktimvo (Incyte+Syndax co-commercialized launch, Feb 2025). Incyte CEO referenced 'deep understanding of cGVHD community' but no rep count. Source: Incyte press release Jan 2025. URL: investor.incyte.com. Accessed: June 2026.</t>
  </si>
  <si>
    <t>Benchmark Range</t>
  </si>
  <si>
    <t>~20–60 specialist reps (inferred from Rezurock launch, allo-HSCT center footprint, rare-disease market dynamics).</t>
  </si>
  <si>
    <t>Influence on Model</t>
  </si>
  <si>
    <t>Competitor benchmarks validate rare-disease T1 reach starting anchor (90%), standard frequency (18/12/6/6 calls/yr), and a total rep count well below general-oncology field force benchmarks.</t>
  </si>
  <si>
    <t>3. DEFAULTING RATIONALE</t>
  </si>
  <si>
    <t>Market Type</t>
  </si>
  <si>
    <t>RARE — drove all defaults</t>
  </si>
  <si>
    <t>T1 Reach (Moderate)</t>
  </si>
  <si>
    <t>90% — Rare market top-tier starting anchor per skill rules. Not 95% (non-rare cap).</t>
  </si>
  <si>
    <t>T2 Reach (Moderate)</t>
  </si>
  <si>
    <t>75% — Tapered from T1</t>
  </si>
  <si>
    <t>T3 Reach (Moderate)</t>
  </si>
  <si>
    <t>60%</t>
  </si>
  <si>
    <t>T4 Reach (Moderate)</t>
  </si>
  <si>
    <t>45%</t>
  </si>
  <si>
    <t>T1 Calls/HCP/yr</t>
  </si>
  <si>
    <t>18 — Rare baseline. New launch +1 step vs. mature therapy (12→18). Multiple of 6.</t>
  </si>
  <si>
    <t>T2 Calls/HCP/yr</t>
  </si>
  <si>
    <t>12</t>
  </si>
  <si>
    <t>T3 Calls/HCP/yr</t>
  </si>
  <si>
    <t>6 — Minimum multiple of 6</t>
  </si>
  <si>
    <t>T4 Calls/HCP/yr</t>
  </si>
  <si>
    <t>6 — Same as T3; rare/restricted lower tier at floor</t>
  </si>
  <si>
    <t>Launch Maturity</t>
  </si>
  <si>
    <t>NEW LAUNCH (FDA Aug 2024; commercial Feb 2025). Justifies T1/T2 calls at upper rare-market anchor. Does NOT justify non-rare broad-market reach.</t>
  </si>
  <si>
    <t>Access restrictions</t>
  </si>
  <si>
    <t>IV infusion every 2 weeks; administered at allo-HSCT centers or specialty infusion centers. Highly concentrated patient population. Supports center-of-excellence model.</t>
  </si>
  <si>
    <t>Client Overrides</t>
  </si>
  <si>
    <t>None. All defaults derived from drug + market type + launch maturity evidence. Yellow editable cells allow client to override.</t>
  </si>
  <si>
    <t>No 100% Reach Seeded</t>
  </si>
  <si>
    <t>Confirmed. All reach defaults &lt; 100%. Max cap = 90% for rare market.</t>
  </si>
  <si>
    <t>CEILING for Reps</t>
  </si>
  <si>
    <t>Confirmed. CEILING(total_calls/capacity, 1) used throughout.</t>
  </si>
  <si>
    <t>Multiples of 6</t>
  </si>
  <si>
    <t>Confirmed. All calls/HCP/yr values: 6, 12, 18, 24. Validation applied.</t>
  </si>
  <si>
    <t>4. DIAGNOSTIC METRICS BY SCENARIO</t>
  </si>
  <si>
    <t>Scenario</t>
  </si>
  <si>
    <t>HCP-per-Rep (diagnostic only; not in Summary)</t>
  </si>
  <si>
    <t>Frequency — High-touch</t>
  </si>
  <si>
    <t>Frequency — Standard</t>
  </si>
  <si>
    <t>Frequency — Low-touch</t>
  </si>
  <si>
    <t>5. ENG-2 NOTE</t>
  </si>
  <si>
    <t>ENG-2 present?</t>
  </si>
  <si>
    <t>No. ENG-2, ENG_2, or Engagement 2 field was NOT found in dataset columns. Not modeled.</t>
  </si>
  <si>
    <t>6. FORMULA QA CHECKS</t>
  </si>
  <si>
    <t>CEILING used for reps</t>
  </si>
  <si>
    <t>YES — All rep count cells use =CEILING(total_calls/capacity, 1)</t>
  </si>
  <si>
    <t>Reach values &lt;= max cap</t>
  </si>
  <si>
    <t>YES — Data validation on editable reach cells. Cap = Inputs!B15 = 90% (rare)</t>
  </si>
  <si>
    <t>No 100% reach seeded</t>
  </si>
  <si>
    <t>YES — Confirmed. All seeded reach defaults ≤ 90%</t>
  </si>
  <si>
    <t>Calls/HCP/yr multiples of 6</t>
  </si>
  <si>
    <t>YES — All values: 6, 12, 18, 24 (all mod 6 = 0)</t>
  </si>
  <si>
    <t>Scenario parity — Reach</t>
  </si>
  <si>
    <t>YES — Reach_Scenario changes reach only; calls formula-linked from Normal_Workload</t>
  </si>
  <si>
    <t>Scenario parity — Frequency</t>
  </si>
  <si>
    <t>YES — Frequency_Scenario changes calls only; reach formula-linked from Normal_Workload</t>
  </si>
  <si>
    <t>Scenario parity — Segment</t>
  </si>
  <si>
    <t>YES — Segment_Scenario changes split % only; intensity formulas fixed from Normal_Workload</t>
  </si>
  <si>
    <t>Summary front-output check</t>
  </si>
  <si>
    <t>YES — Summary shows rep counts only. Total calls, effective HCPs, HCP-per-rep in Diagnostics_QA only</t>
  </si>
  <si>
    <t>Tier count reconciliation</t>
  </si>
  <si>
    <t>YES — T1=519, T2=1137, T3=4657, T4=5827. Total=12,140. Source: Sizing_Input.xlsx</t>
  </si>
  <si>
    <t>Effective HCPs formula</t>
  </si>
  <si>
    <t>YES — =ROUND(hcp_count * reach_pct, 0) used throughout</t>
  </si>
  <si>
    <t>Segment splits sum to 100%</t>
  </si>
  <si>
    <t>YES — Premium-tilt/Balanced/Cost-aware High+Low splits sum to 100% per tier</t>
  </si>
  <si>
    <t>Low-touch floor compliance</t>
  </si>
  <si>
    <t>YES — Low-touch T3/T4 capped at 6 (cannot go below because Standard=6)</t>
  </si>
  <si>
    <t>No Family terminology</t>
  </si>
  <si>
    <t>YES — No sheet, header, or label uses the word 'Family'</t>
  </si>
  <si>
    <t>7 sheets in correct order</t>
  </si>
  <si>
    <t>YES — Summary, Inputs, Normal_Workload, Reach_Scenario, Frequency_Scenario, Segment_Scenario, Diagnostics_QA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</si>
</sst>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#,##0;\-#,##0;0"/>
    <numFmt numFmtId="165" formatCode="0.0%"/>
    <numFmt numFmtId="166" formatCode="#,##0.0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1"/>
      <color rgb="FFFFFFFF"/>
      <name val="Arial"/>
      <charset val="1"/>
    </font>
    <font>
      <i/>
      <sz val="9"/>
      <name val="Arial"/>
      <charset val="1"/>
    </font>
    <font>
      <b/>
      <sz val="12"/>
      <color rgb="FFFFFFFF"/>
      <name val="Arial"/>
      <charset val="1"/>
    </font>
    <font>
      <b/>
      <sz val="11"/>
      <color rgb="FF006400"/>
      <name val="Arial"/>
      <charset val="1"/>
    </font>
    <font>
      <sz val="9"/>
      <name val="Arial"/>
      <charset val="1"/>
    </font>
    <font>
      <b/>
      <sz val="13"/>
      <color rgb="FFFFFFFF"/>
      <name val="Arial"/>
      <charset val="1"/>
    </font>
    <font>
      <sz val="11"/>
      <color rgb="FF0000FF"/>
      <name val="Arial"/>
      <charset val="1"/>
    </font>
    <font>
      <i/>
      <sz val="11"/>
      <color rgb="FF000000"/>
      <name val="Arial"/>
      <charset val="1"/>
    </font>
    <font>
      <sz val="11"/>
      <color rgb="FF006400"/>
      <name val="Arial"/>
      <charset val="1"/>
    </font>
    <font>
      <b/>
      <sz val="9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595959"/>
        <bgColor rgb="FF333333"/>
      </patternFill>
    </fill>
    <fill>
      <patternFill patternType="solid">
        <fgColor rgb="FFFFFFC0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4" fillId="4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4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/>
    <xf numFmtId="3" fontId="7" fillId="3" borderId="2" xfId="0" applyNumberFormat="1" applyFont="1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5" fillId="3" borderId="2" xfId="0" applyFont="1" applyFill="1" applyBorder="1" applyAlignment="1">
      <alignment wrapText="1"/>
    </xf>
    <xf numFmtId="0" fontId="3" fillId="6" borderId="2" xfId="0" applyFont="1" applyFill="1" applyBorder="1"/>
    <xf numFmtId="3" fontId="2" fillId="6" borderId="2" xfId="0" applyNumberFormat="1" applyFont="1" applyFill="1" applyBorder="1"/>
    <xf numFmtId="164" fontId="0" fillId="6" borderId="2" xfId="0" applyNumberFormat="1" applyFill="1" applyBorder="1"/>
    <xf numFmtId="0" fontId="0" fillId="6" borderId="2" xfId="0" applyFill="1" applyBorder="1"/>
    <xf numFmtId="0" fontId="5" fillId="6" borderId="2" xfId="0" applyFont="1" applyFill="1" applyBorder="1" applyAlignment="1">
      <alignment wrapText="1"/>
    </xf>
    <xf numFmtId="0" fontId="2" fillId="0" borderId="0" xfId="0" applyFont="1"/>
    <xf numFmtId="3" fontId="0" fillId="0" borderId="0" xfId="0" applyNumberFormat="1"/>
    <xf numFmtId="0" fontId="3" fillId="3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right" vertical="center"/>
    </xf>
    <xf numFmtId="0" fontId="5" fillId="0" borderId="2" xfId="0" applyFont="1" applyBorder="1"/>
    <xf numFmtId="3" fontId="3" fillId="6" borderId="2" xfId="0" applyNumberFormat="1" applyFont="1" applyFill="1" applyBorder="1" applyAlignment="1">
      <alignment horizontal="right" vertical="center"/>
    </xf>
    <xf numFmtId="0" fontId="11" fillId="6" borderId="2" xfId="0" applyFont="1" applyFill="1" applyBorder="1" applyAlignment="1">
      <alignment horizontal="right" vertical="center"/>
    </xf>
    <xf numFmtId="165" fontId="10" fillId="9" borderId="2" xfId="0" applyNumberFormat="1" applyFont="1" applyFill="1" applyBorder="1" applyAlignment="1">
      <alignment horizontal="right" vertical="center"/>
    </xf>
    <xf numFmtId="3" fontId="7" fillId="0" borderId="2" xfId="0" applyNumberFormat="1" applyFont="1" applyBorder="1" applyAlignment="1">
      <alignment horizontal="right" vertical="center"/>
    </xf>
    <xf numFmtId="0" fontId="11" fillId="0" borderId="2" xfId="0" applyFont="1" applyBorder="1"/>
    <xf numFmtId="3" fontId="12" fillId="6" borderId="2" xfId="0" applyNumberFormat="1" applyFont="1" applyFill="1" applyBorder="1" applyAlignment="1">
      <alignment horizontal="right" vertical="center"/>
    </xf>
    <xf numFmtId="0" fontId="0" fillId="0" borderId="2" xfId="0" applyBorder="1"/>
    <xf numFmtId="3" fontId="1" fillId="2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165" fontId="12" fillId="6" borderId="2" xfId="0" applyNumberFormat="1" applyFont="1" applyFill="1" applyBorder="1" applyAlignment="1">
      <alignment horizontal="right" vertical="center"/>
    </xf>
    <xf numFmtId="3" fontId="10" fillId="9" borderId="2" xfId="0" applyNumberFormat="1" applyFont="1" applyFill="1" applyBorder="1" applyAlignment="1">
      <alignment horizontal="right" vertical="center"/>
    </xf>
    <xf numFmtId="9" fontId="10" fillId="9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vertical="top" wrapText="1"/>
    </xf>
    <xf numFmtId="0" fontId="4" fillId="4" borderId="2" xfId="0" applyFont="1" applyFill="1" applyBorder="1"/>
    <xf numFmtId="166" fontId="0" fillId="0" borderId="2" xfId="0" applyNumberFormat="1" applyBorder="1"/>
    <xf numFmtId="0" fontId="5" fillId="0" borderId="1" xfId="0" applyFont="1" applyBorder="1" applyAlignment="1">
      <alignment wrapText="1"/>
    </xf>
    <xf numFmtId="0" fontId="4" fillId="10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0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9F9F9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zoomScaleNormal="100" workbookViewId="0">
      <selection activeCell="A36" sqref="A36:H36"/>
    </sheetView>
  </sheetViews>
  <sheetFormatPr defaultColWidth="8.6640625" defaultRowHeight="14.4" x14ac:dyDescent="0.3"/>
  <cols>
    <col min="1" max="1" width="28" customWidth="1"/>
    <col min="2" max="7" width="18" customWidth="1"/>
    <col min="8" max="8" width="22" customWidth="1"/>
  </cols>
  <sheetData>
    <row r="1" spans="1:8" ht="27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21.75" customHeight="1" x14ac:dyDescent="0.3">
      <c r="A2" s="15" t="s">
        <v>1</v>
      </c>
      <c r="B2" s="13" t="s">
        <v>2</v>
      </c>
      <c r="C2" s="13"/>
      <c r="D2" s="13"/>
      <c r="E2" s="13"/>
      <c r="F2" s="13"/>
      <c r="G2" s="13"/>
      <c r="H2" s="13"/>
    </row>
    <row r="3" spans="1:8" ht="21.75" customHeight="1" x14ac:dyDescent="0.3">
      <c r="A3" s="15" t="s">
        <v>3</v>
      </c>
      <c r="B3" s="13" t="s">
        <v>4</v>
      </c>
      <c r="C3" s="13"/>
      <c r="D3" s="13"/>
      <c r="E3" s="13"/>
      <c r="F3" s="13"/>
      <c r="G3" s="13"/>
      <c r="H3" s="13"/>
    </row>
    <row r="4" spans="1:8" ht="21.75" customHeight="1" x14ac:dyDescent="0.3">
      <c r="A4" s="15" t="s">
        <v>5</v>
      </c>
      <c r="B4" s="13" t="s">
        <v>6</v>
      </c>
      <c r="C4" s="13"/>
      <c r="D4" s="13"/>
      <c r="E4" s="13"/>
      <c r="F4" s="13"/>
      <c r="G4" s="13"/>
      <c r="H4" s="13"/>
    </row>
    <row r="5" spans="1:8" ht="21.75" customHeight="1" x14ac:dyDescent="0.3">
      <c r="A5" s="15" t="s">
        <v>7</v>
      </c>
      <c r="B5" s="13" t="s">
        <v>8</v>
      </c>
      <c r="C5" s="13"/>
      <c r="D5" s="13"/>
      <c r="E5" s="13"/>
      <c r="F5" s="13"/>
      <c r="G5" s="13"/>
      <c r="H5" s="13"/>
    </row>
    <row r="6" spans="1:8" ht="21.75" customHeight="1" x14ac:dyDescent="0.3">
      <c r="A6" s="15" t="s">
        <v>9</v>
      </c>
      <c r="B6" s="13" t="s">
        <v>10</v>
      </c>
      <c r="C6" s="13"/>
      <c r="D6" s="13"/>
      <c r="E6" s="13"/>
      <c r="F6" s="13"/>
      <c r="G6" s="13"/>
      <c r="H6" s="13"/>
    </row>
    <row r="7" spans="1:8" ht="21.75" customHeight="1" x14ac:dyDescent="0.3">
      <c r="A7" s="15" t="s">
        <v>11</v>
      </c>
      <c r="B7" s="13" t="s">
        <v>12</v>
      </c>
      <c r="C7" s="13"/>
      <c r="D7" s="13"/>
      <c r="E7" s="13"/>
      <c r="F7" s="13"/>
      <c r="G7" s="13"/>
      <c r="H7" s="13"/>
    </row>
    <row r="8" spans="1:8" ht="21.75" customHeight="1" x14ac:dyDescent="0.3">
      <c r="A8" s="15" t="s">
        <v>13</v>
      </c>
      <c r="B8" s="13" t="s">
        <v>14</v>
      </c>
      <c r="C8" s="13"/>
      <c r="D8" s="13"/>
      <c r="E8" s="13"/>
      <c r="F8" s="13"/>
      <c r="G8" s="13"/>
      <c r="H8" s="13"/>
    </row>
    <row r="10" spans="1:8" ht="15" customHeight="1" x14ac:dyDescent="0.3">
      <c r="A10" s="12" t="s">
        <v>15</v>
      </c>
      <c r="B10" s="12"/>
      <c r="C10" s="12"/>
      <c r="D10" s="12"/>
      <c r="E10" s="12"/>
      <c r="F10" s="12"/>
      <c r="G10" s="12"/>
      <c r="H10" s="12"/>
    </row>
    <row r="11" spans="1:8" ht="54.75" customHeight="1" x14ac:dyDescent="0.3">
      <c r="A11" s="11" t="s">
        <v>16</v>
      </c>
      <c r="B11" s="11"/>
      <c r="C11" s="11"/>
      <c r="D11" s="11"/>
      <c r="E11" s="11"/>
      <c r="F11" s="11"/>
      <c r="G11" s="11"/>
      <c r="H11" s="11"/>
    </row>
    <row r="13" spans="1:8" ht="15" customHeight="1" x14ac:dyDescent="0.3">
      <c r="A13" s="10" t="s">
        <v>17</v>
      </c>
      <c r="B13" s="10"/>
      <c r="C13" s="10"/>
      <c r="D13" s="10"/>
      <c r="E13" s="10"/>
      <c r="F13" s="10"/>
      <c r="G13" s="10"/>
      <c r="H13" s="10"/>
    </row>
    <row r="14" spans="1:8" ht="26.25" customHeight="1" x14ac:dyDescent="0.3">
      <c r="A14" s="16" t="s">
        <v>18</v>
      </c>
      <c r="B14" s="16" t="s">
        <v>19</v>
      </c>
      <c r="C14" s="16" t="s">
        <v>20</v>
      </c>
      <c r="D14" s="16" t="s">
        <v>21</v>
      </c>
      <c r="H14" s="16" t="s">
        <v>22</v>
      </c>
    </row>
    <row r="15" spans="1:8" ht="19.5" customHeight="1" x14ac:dyDescent="0.3">
      <c r="A15" s="15" t="s">
        <v>23</v>
      </c>
      <c r="B15" s="17" t="s">
        <v>24</v>
      </c>
      <c r="C15" s="18">
        <f>Normal_Workload!H16</f>
        <v>39</v>
      </c>
      <c r="D15" s="19">
        <f>C15-C15</f>
        <v>0</v>
      </c>
      <c r="E15" s="20"/>
      <c r="F15" s="20"/>
      <c r="G15" s="20"/>
      <c r="H15" s="21" t="s">
        <v>25</v>
      </c>
    </row>
    <row r="16" spans="1:8" ht="19.5" customHeight="1" x14ac:dyDescent="0.3">
      <c r="A16" s="22" t="s">
        <v>26</v>
      </c>
      <c r="B16" s="22" t="s">
        <v>27</v>
      </c>
      <c r="C16" s="23">
        <f>Reach_Scenario!H9</f>
        <v>45</v>
      </c>
      <c r="D16" s="24">
        <f>C16-C15</f>
        <v>6</v>
      </c>
      <c r="E16" s="25"/>
      <c r="F16" s="25"/>
      <c r="G16" s="25"/>
      <c r="H16" s="26" t="s">
        <v>28</v>
      </c>
    </row>
    <row r="17" spans="1:8" ht="19.5" customHeight="1" x14ac:dyDescent="0.3">
      <c r="A17" s="22" t="s">
        <v>26</v>
      </c>
      <c r="B17" s="22" t="s">
        <v>29</v>
      </c>
      <c r="C17" s="23">
        <f>Reach_Scenario!H20</f>
        <v>39</v>
      </c>
      <c r="D17" s="24">
        <f>C17-C15</f>
        <v>0</v>
      </c>
      <c r="E17" s="25"/>
      <c r="F17" s="25"/>
      <c r="G17" s="25"/>
      <c r="H17" s="26" t="s">
        <v>30</v>
      </c>
    </row>
    <row r="18" spans="1:8" ht="19.5" customHeight="1" x14ac:dyDescent="0.3">
      <c r="A18" s="22" t="s">
        <v>26</v>
      </c>
      <c r="B18" s="22" t="s">
        <v>31</v>
      </c>
      <c r="C18" s="23">
        <f>Reach_Scenario!H31</f>
        <v>29</v>
      </c>
      <c r="D18" s="24">
        <f>C18-C15</f>
        <v>-10</v>
      </c>
      <c r="E18" s="25"/>
      <c r="F18" s="25"/>
      <c r="G18" s="25"/>
      <c r="H18" s="26" t="s">
        <v>32</v>
      </c>
    </row>
    <row r="19" spans="1:8" ht="19.5" customHeight="1" x14ac:dyDescent="0.3">
      <c r="A19" s="22" t="s">
        <v>33</v>
      </c>
      <c r="B19" s="22" t="s">
        <v>34</v>
      </c>
      <c r="C19" s="23">
        <f>Frequency_Scenario!H9</f>
        <v>58</v>
      </c>
      <c r="D19" s="24">
        <f>C19-C15</f>
        <v>19</v>
      </c>
      <c r="E19" s="25"/>
      <c r="F19" s="25"/>
      <c r="G19" s="25"/>
      <c r="H19" s="26" t="s">
        <v>35</v>
      </c>
    </row>
    <row r="20" spans="1:8" ht="19.5" customHeight="1" x14ac:dyDescent="0.3">
      <c r="A20" s="22" t="s">
        <v>33</v>
      </c>
      <c r="B20" s="22" t="s">
        <v>36</v>
      </c>
      <c r="C20" s="23">
        <f>Frequency_Scenario!H20</f>
        <v>39</v>
      </c>
      <c r="D20" s="24">
        <f>C20-C15</f>
        <v>0</v>
      </c>
      <c r="E20" s="25"/>
      <c r="F20" s="25"/>
      <c r="G20" s="25"/>
      <c r="H20" s="26" t="s">
        <v>37</v>
      </c>
    </row>
    <row r="21" spans="1:8" ht="19.5" customHeight="1" x14ac:dyDescent="0.3">
      <c r="A21" s="22" t="s">
        <v>33</v>
      </c>
      <c r="B21" s="22" t="s">
        <v>38</v>
      </c>
      <c r="C21" s="23">
        <f>Frequency_Scenario!H31</f>
        <v>33</v>
      </c>
      <c r="D21" s="24">
        <f>C21-C15</f>
        <v>-6</v>
      </c>
      <c r="E21" s="25"/>
      <c r="F21" s="25"/>
      <c r="G21" s="25"/>
      <c r="H21" s="26" t="s">
        <v>39</v>
      </c>
    </row>
    <row r="22" spans="1:8" ht="19.5" customHeight="1" x14ac:dyDescent="0.3">
      <c r="A22" s="22" t="s">
        <v>40</v>
      </c>
      <c r="B22" s="22" t="s">
        <v>41</v>
      </c>
      <c r="C22" s="23">
        <f>Segment_Scenario!H14</f>
        <v>31</v>
      </c>
      <c r="D22" s="24">
        <f>C22-C15</f>
        <v>-8</v>
      </c>
      <c r="E22" s="25"/>
      <c r="F22" s="25"/>
      <c r="G22" s="25"/>
      <c r="H22" s="26" t="s">
        <v>42</v>
      </c>
    </row>
    <row r="23" spans="1:8" ht="19.5" customHeight="1" x14ac:dyDescent="0.3">
      <c r="A23" s="22" t="s">
        <v>40</v>
      </c>
      <c r="B23" s="22" t="s">
        <v>43</v>
      </c>
      <c r="C23" s="23">
        <f>Segment_Scenario!H27</f>
        <v>29</v>
      </c>
      <c r="D23" s="24">
        <f>C23-C15</f>
        <v>-10</v>
      </c>
      <c r="E23" s="25"/>
      <c r="F23" s="25"/>
      <c r="G23" s="25"/>
      <c r="H23" s="26" t="s">
        <v>44</v>
      </c>
    </row>
    <row r="24" spans="1:8" ht="19.5" customHeight="1" x14ac:dyDescent="0.3">
      <c r="A24" s="22" t="s">
        <v>40</v>
      </c>
      <c r="B24" s="22" t="s">
        <v>45</v>
      </c>
      <c r="C24" s="23">
        <f>Segment_Scenario!H40</f>
        <v>27</v>
      </c>
      <c r="D24" s="24">
        <f>C24-C15</f>
        <v>-12</v>
      </c>
      <c r="E24" s="25"/>
      <c r="F24" s="25"/>
      <c r="G24" s="25"/>
      <c r="H24" s="26" t="s">
        <v>46</v>
      </c>
    </row>
    <row r="26" spans="1:8" ht="15" customHeight="1" x14ac:dyDescent="0.3">
      <c r="A26" s="9" t="s">
        <v>47</v>
      </c>
      <c r="B26" s="9"/>
      <c r="C26" s="9"/>
      <c r="D26" s="9"/>
      <c r="E26" s="9"/>
      <c r="F26" s="9"/>
      <c r="G26" s="9"/>
      <c r="H26" s="9"/>
    </row>
    <row r="28" spans="1:8" ht="15" customHeight="1" x14ac:dyDescent="0.3">
      <c r="A28" s="10" t="s">
        <v>48</v>
      </c>
      <c r="B28" s="10"/>
      <c r="C28" s="10"/>
      <c r="D28" s="10"/>
      <c r="E28" s="10"/>
      <c r="F28" s="10"/>
      <c r="G28" s="10"/>
      <c r="H28" s="10"/>
    </row>
    <row r="29" spans="1:8" ht="90" customHeight="1" x14ac:dyDescent="0.3">
      <c r="A29" s="8" t="s">
        <v>49</v>
      </c>
      <c r="B29" s="8"/>
      <c r="C29" s="8"/>
      <c r="D29" s="8"/>
      <c r="E29" s="8"/>
      <c r="F29" s="8"/>
      <c r="G29" s="8"/>
      <c r="H29" s="8"/>
    </row>
    <row r="31" spans="1:8" ht="15" customHeight="1" x14ac:dyDescent="0.3">
      <c r="A31" s="12" t="s">
        <v>50</v>
      </c>
      <c r="B31" s="12"/>
      <c r="C31" s="12"/>
      <c r="D31" s="12"/>
      <c r="E31" s="12"/>
      <c r="F31" s="12"/>
      <c r="G31" s="12"/>
      <c r="H31" s="12"/>
    </row>
    <row r="32" spans="1:8" ht="19.5" customHeight="1" x14ac:dyDescent="0.3">
      <c r="A32" s="7" t="s">
        <v>51</v>
      </c>
      <c r="B32" s="7"/>
      <c r="C32" s="7"/>
      <c r="D32" s="7"/>
      <c r="E32" s="7"/>
      <c r="F32" s="7"/>
      <c r="G32" s="7"/>
      <c r="H32" s="7"/>
    </row>
    <row r="33" spans="1:8" ht="19.5" customHeight="1" x14ac:dyDescent="0.3">
      <c r="A33" s="7" t="s">
        <v>52</v>
      </c>
      <c r="B33" s="7"/>
      <c r="C33" s="7"/>
      <c r="D33" s="7"/>
      <c r="E33" s="7"/>
      <c r="F33" s="7"/>
      <c r="G33" s="7"/>
      <c r="H33" s="7"/>
    </row>
    <row r="34" spans="1:8" ht="19.5" customHeight="1" x14ac:dyDescent="0.3">
      <c r="A34" s="7" t="s">
        <v>53</v>
      </c>
      <c r="B34" s="7"/>
      <c r="C34" s="7"/>
      <c r="D34" s="7"/>
      <c r="E34" s="7"/>
      <c r="F34" s="7"/>
      <c r="G34" s="7"/>
      <c r="H34" s="7"/>
    </row>
    <row r="35" spans="1:8" ht="19.5" customHeight="1" x14ac:dyDescent="0.3">
      <c r="A35" s="7" t="s">
        <v>54</v>
      </c>
      <c r="B35" s="7"/>
      <c r="C35" s="7"/>
      <c r="D35" s="7"/>
      <c r="E35" s="7"/>
      <c r="F35" s="7"/>
      <c r="G35" s="7"/>
      <c r="H35" s="7"/>
    </row>
    <row r="36" spans="1:8" ht="19.5" customHeight="1" x14ac:dyDescent="0.3">
      <c r="A36" s="7" t="s">
        <v>55</v>
      </c>
      <c r="B36" s="7"/>
      <c r="C36" s="7"/>
      <c r="D36" s="7"/>
      <c r="E36" s="7"/>
      <c r="F36" s="7"/>
      <c r="G36" s="7"/>
      <c r="H36" s="7"/>
    </row>
    <row r="37" spans="1:8" ht="19.5" customHeight="1" x14ac:dyDescent="0.3">
      <c r="A37" s="7" t="s">
        <v>56</v>
      </c>
      <c r="B37" s="7"/>
      <c r="C37" s="7"/>
      <c r="D37" s="7"/>
      <c r="E37" s="7"/>
      <c r="F37" s="7"/>
      <c r="G37" s="7"/>
      <c r="H37" s="7"/>
    </row>
    <row r="47" spans="1:8" ht="15" customHeight="1" x14ac:dyDescent="0.3">
      <c r="A47" s="27" t="s">
        <v>57</v>
      </c>
      <c r="B47" s="27" t="s">
        <v>20</v>
      </c>
    </row>
    <row r="48" spans="1:8" ht="15" customHeight="1" x14ac:dyDescent="0.3">
      <c r="A48" t="s">
        <v>24</v>
      </c>
      <c r="B48" s="28">
        <f>Normal_Workload!H16</f>
        <v>39</v>
      </c>
    </row>
    <row r="49" spans="1:2" ht="15" customHeight="1" x14ac:dyDescent="0.3">
      <c r="A49" t="s">
        <v>58</v>
      </c>
      <c r="B49" s="28">
        <f>Reach_Scenario!H9</f>
        <v>45</v>
      </c>
    </row>
    <row r="50" spans="1:2" ht="15" customHeight="1" x14ac:dyDescent="0.3">
      <c r="A50" t="s">
        <v>59</v>
      </c>
      <c r="B50" s="28">
        <f>Reach_Scenario!H20</f>
        <v>39</v>
      </c>
    </row>
    <row r="51" spans="1:2" ht="15" customHeight="1" x14ac:dyDescent="0.3">
      <c r="A51" t="s">
        <v>60</v>
      </c>
      <c r="B51" s="28">
        <f>Reach_Scenario!H31</f>
        <v>29</v>
      </c>
    </row>
    <row r="52" spans="1:2" ht="15" customHeight="1" x14ac:dyDescent="0.3">
      <c r="A52" t="s">
        <v>61</v>
      </c>
      <c r="B52" s="28">
        <f>Frequency_Scenario!H9</f>
        <v>58</v>
      </c>
    </row>
    <row r="53" spans="1:2" ht="15" customHeight="1" x14ac:dyDescent="0.3">
      <c r="A53" t="s">
        <v>62</v>
      </c>
      <c r="B53" s="28">
        <f>Frequency_Scenario!H20</f>
        <v>39</v>
      </c>
    </row>
    <row r="54" spans="1:2" ht="15" customHeight="1" x14ac:dyDescent="0.3">
      <c r="A54" t="s">
        <v>63</v>
      </c>
      <c r="B54" s="28">
        <f>Frequency_Scenario!H31</f>
        <v>33</v>
      </c>
    </row>
    <row r="55" spans="1:2" ht="15" customHeight="1" x14ac:dyDescent="0.3">
      <c r="A55" t="s">
        <v>64</v>
      </c>
      <c r="B55" s="28">
        <f>Segment_Scenario!H14</f>
        <v>31</v>
      </c>
    </row>
    <row r="56" spans="1:2" ht="15" customHeight="1" x14ac:dyDescent="0.3">
      <c r="A56" t="s">
        <v>65</v>
      </c>
      <c r="B56" s="28">
        <f>Segment_Scenario!H27</f>
        <v>29</v>
      </c>
    </row>
    <row r="57" spans="1:2" ht="15" customHeight="1" x14ac:dyDescent="0.3">
      <c r="A57" t="s">
        <v>66</v>
      </c>
      <c r="B57" s="28">
        <f>Segment_Scenario!H40</f>
        <v>27</v>
      </c>
    </row>
  </sheetData>
  <mergeCells count="21">
    <mergeCell ref="A37:H37"/>
    <mergeCell ref="A32:H32"/>
    <mergeCell ref="A33:H33"/>
    <mergeCell ref="A34:H34"/>
    <mergeCell ref="A35:H35"/>
    <mergeCell ref="A36:H36"/>
    <mergeCell ref="A13:H13"/>
    <mergeCell ref="A26:H26"/>
    <mergeCell ref="A28:H28"/>
    <mergeCell ref="A29:H29"/>
    <mergeCell ref="A31:H31"/>
    <mergeCell ref="B6:H6"/>
    <mergeCell ref="B7:H7"/>
    <mergeCell ref="B8:H8"/>
    <mergeCell ref="A10:H10"/>
    <mergeCell ref="A11:H11"/>
    <mergeCell ref="A1:H1"/>
    <mergeCell ref="B2:H2"/>
    <mergeCell ref="B3:H3"/>
    <mergeCell ref="B4:H4"/>
    <mergeCell ref="B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zoomScaleNormal="100" workbookViewId="0">
      <selection activeCell="B11" sqref="B11"/>
    </sheetView>
  </sheetViews>
  <sheetFormatPr defaultColWidth="8.6640625" defaultRowHeight="14.4" x14ac:dyDescent="0.3"/>
  <cols>
    <col min="1" max="1" width="34.33203125" bestFit="1" customWidth="1"/>
    <col min="2" max="2" width="69.109375" bestFit="1" customWidth="1"/>
    <col min="3" max="3" width="16" customWidth="1"/>
    <col min="4" max="4" width="52.6640625" bestFit="1" customWidth="1"/>
  </cols>
  <sheetData>
    <row r="1" spans="1:4" ht="15.75" customHeight="1" x14ac:dyDescent="0.3">
      <c r="A1" s="6" t="s">
        <v>67</v>
      </c>
      <c r="B1" s="6"/>
      <c r="C1" s="6"/>
      <c r="D1" s="6"/>
    </row>
    <row r="3" spans="1:4" ht="15" customHeight="1" x14ac:dyDescent="0.3">
      <c r="A3" s="5" t="s">
        <v>68</v>
      </c>
      <c r="B3" s="5"/>
      <c r="C3" s="5"/>
      <c r="D3" s="5"/>
    </row>
    <row r="4" spans="1:4" ht="15" customHeight="1" x14ac:dyDescent="0.3">
      <c r="A4" s="29" t="s">
        <v>69</v>
      </c>
      <c r="B4" s="30">
        <v>220</v>
      </c>
      <c r="D4" s="31" t="s">
        <v>70</v>
      </c>
    </row>
    <row r="5" spans="1:4" ht="15" customHeight="1" x14ac:dyDescent="0.3">
      <c r="A5" s="29" t="s">
        <v>71</v>
      </c>
      <c r="B5" s="30">
        <v>6</v>
      </c>
      <c r="D5" s="31" t="s">
        <v>72</v>
      </c>
    </row>
    <row r="6" spans="1:4" ht="15" customHeight="1" x14ac:dyDescent="0.3">
      <c r="A6" s="29" t="s">
        <v>73</v>
      </c>
      <c r="B6" s="32">
        <f>B4*B5</f>
        <v>1320</v>
      </c>
      <c r="D6" s="31" t="s">
        <v>74</v>
      </c>
    </row>
    <row r="8" spans="1:4" ht="15" customHeight="1" x14ac:dyDescent="0.3">
      <c r="A8" s="5" t="s">
        <v>75</v>
      </c>
      <c r="B8" s="5"/>
      <c r="C8" s="5"/>
      <c r="D8" s="5"/>
    </row>
    <row r="9" spans="1:4" ht="15" customHeight="1" x14ac:dyDescent="0.3">
      <c r="A9" s="29" t="s">
        <v>76</v>
      </c>
      <c r="B9" s="33" t="s">
        <v>2</v>
      </c>
      <c r="D9" s="31" t="s">
        <v>77</v>
      </c>
    </row>
    <row r="10" spans="1:4" ht="15" customHeight="1" x14ac:dyDescent="0.3">
      <c r="A10" s="29" t="s">
        <v>78</v>
      </c>
      <c r="B10" s="33" t="s">
        <v>4</v>
      </c>
      <c r="D10" s="31" t="s">
        <v>79</v>
      </c>
    </row>
    <row r="11" spans="1:4" ht="15" customHeight="1" x14ac:dyDescent="0.3">
      <c r="A11" s="29" t="s">
        <v>80</v>
      </c>
      <c r="B11" s="33" t="s">
        <v>6</v>
      </c>
      <c r="D11" s="31" t="s">
        <v>81</v>
      </c>
    </row>
    <row r="12" spans="1:4" ht="15" customHeight="1" x14ac:dyDescent="0.3">
      <c r="A12" s="29" t="s">
        <v>82</v>
      </c>
      <c r="B12" s="33" t="s">
        <v>83</v>
      </c>
      <c r="D12" s="31" t="s">
        <v>84</v>
      </c>
    </row>
    <row r="13" spans="1:4" ht="15" customHeight="1" x14ac:dyDescent="0.3">
      <c r="A13" s="29" t="s">
        <v>85</v>
      </c>
      <c r="B13" s="33" t="s">
        <v>86</v>
      </c>
      <c r="D13" s="31" t="s">
        <v>87</v>
      </c>
    </row>
    <row r="14" spans="1:4" ht="15" customHeight="1" x14ac:dyDescent="0.3">
      <c r="A14" s="29" t="s">
        <v>88</v>
      </c>
      <c r="B14" s="33" t="s">
        <v>89</v>
      </c>
      <c r="D14" s="31" t="s">
        <v>90</v>
      </c>
    </row>
    <row r="15" spans="1:4" ht="15" customHeight="1" x14ac:dyDescent="0.3">
      <c r="A15" s="29" t="s">
        <v>91</v>
      </c>
      <c r="B15" s="34">
        <v>0.9</v>
      </c>
      <c r="D15" s="31" t="s">
        <v>92</v>
      </c>
    </row>
    <row r="17" spans="1:4" ht="15" customHeight="1" x14ac:dyDescent="0.3">
      <c r="A17" s="5" t="s">
        <v>93</v>
      </c>
      <c r="B17" s="5"/>
      <c r="C17" s="5"/>
      <c r="D17" s="5"/>
    </row>
    <row r="18" spans="1:4" ht="15" customHeight="1" x14ac:dyDescent="0.3">
      <c r="A18" s="29" t="s">
        <v>94</v>
      </c>
      <c r="B18" s="30">
        <v>519</v>
      </c>
      <c r="D18" s="31" t="s">
        <v>95</v>
      </c>
    </row>
    <row r="19" spans="1:4" ht="15" customHeight="1" x14ac:dyDescent="0.3">
      <c r="A19" s="29" t="s">
        <v>96</v>
      </c>
      <c r="B19" s="30">
        <v>1137</v>
      </c>
      <c r="D19" s="31" t="s">
        <v>95</v>
      </c>
    </row>
    <row r="20" spans="1:4" ht="15" customHeight="1" x14ac:dyDescent="0.3">
      <c r="A20" s="29" t="s">
        <v>97</v>
      </c>
      <c r="B20" s="30">
        <v>4657</v>
      </c>
      <c r="D20" s="31" t="s">
        <v>95</v>
      </c>
    </row>
    <row r="21" spans="1:4" ht="15" customHeight="1" x14ac:dyDescent="0.3">
      <c r="A21" s="29" t="s">
        <v>98</v>
      </c>
      <c r="B21" s="30">
        <v>5827</v>
      </c>
      <c r="D21" s="31" t="s">
        <v>95</v>
      </c>
    </row>
    <row r="22" spans="1:4" ht="15" customHeight="1" x14ac:dyDescent="0.3">
      <c r="A22" s="29" t="s">
        <v>99</v>
      </c>
      <c r="B22" s="32">
        <f>B18+B19+B20+B21</f>
        <v>12140</v>
      </c>
      <c r="D22" s="31" t="s">
        <v>100</v>
      </c>
    </row>
    <row r="24" spans="1:4" ht="15" customHeight="1" x14ac:dyDescent="0.3">
      <c r="A24" s="5" t="s">
        <v>101</v>
      </c>
      <c r="B24" s="5"/>
      <c r="C24" s="5"/>
      <c r="D24" s="5"/>
    </row>
    <row r="25" spans="1:4" ht="26.25" customHeight="1" x14ac:dyDescent="0.3">
      <c r="A25" s="29" t="s">
        <v>102</v>
      </c>
      <c r="B25" s="30">
        <v>18</v>
      </c>
      <c r="D25" s="31" t="s">
        <v>103</v>
      </c>
    </row>
    <row r="26" spans="1:4" ht="26.25" customHeight="1" x14ac:dyDescent="0.3">
      <c r="A26" s="29" t="s">
        <v>104</v>
      </c>
      <c r="B26" s="30">
        <v>12</v>
      </c>
      <c r="D26" s="31" t="s">
        <v>105</v>
      </c>
    </row>
    <row r="27" spans="1:4" ht="26.25" customHeight="1" x14ac:dyDescent="0.3">
      <c r="A27" s="29" t="s">
        <v>106</v>
      </c>
      <c r="B27" s="30">
        <v>6</v>
      </c>
      <c r="D27" s="31" t="s">
        <v>107</v>
      </c>
    </row>
    <row r="28" spans="1:4" ht="26.25" customHeight="1" x14ac:dyDescent="0.3">
      <c r="A28" s="29" t="s">
        <v>108</v>
      </c>
      <c r="B28" s="30">
        <v>6</v>
      </c>
      <c r="D28" s="31" t="s">
        <v>109</v>
      </c>
    </row>
  </sheetData>
  <mergeCells count="5">
    <mergeCell ref="A1:D1"/>
    <mergeCell ref="A3:D3"/>
    <mergeCell ref="A8:D8"/>
    <mergeCell ref="A17:D17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6" customWidth="1"/>
    <col min="3" max="3" width="14" customWidth="1"/>
    <col min="4" max="4" width="16" customWidth="1"/>
    <col min="5" max="5" width="18" customWidth="1"/>
    <col min="6" max="6" width="16" customWidth="1"/>
    <col min="7" max="7" width="18" customWidth="1"/>
  </cols>
  <sheetData>
    <row r="1" spans="1:8" ht="24" customHeight="1" x14ac:dyDescent="0.3">
      <c r="A1" s="10" t="s">
        <v>110</v>
      </c>
      <c r="B1" s="10"/>
      <c r="C1" s="10"/>
      <c r="D1" s="10"/>
      <c r="E1" s="10"/>
      <c r="F1" s="10"/>
      <c r="G1" s="10"/>
    </row>
    <row r="2" spans="1:8" ht="15" customHeight="1" x14ac:dyDescent="0.3">
      <c r="A2" s="4" t="s">
        <v>111</v>
      </c>
      <c r="B2" s="4"/>
      <c r="C2" s="4"/>
      <c r="D2" s="4"/>
      <c r="E2" s="35">
        <f>Inputs!B6</f>
        <v>1320</v>
      </c>
      <c r="F2" s="3" t="s">
        <v>112</v>
      </c>
      <c r="G2" s="3"/>
    </row>
    <row r="3" spans="1:8" ht="15" customHeight="1" x14ac:dyDescent="0.3">
      <c r="A3" s="36" t="s">
        <v>113</v>
      </c>
      <c r="B3" s="2" t="s">
        <v>114</v>
      </c>
      <c r="C3" s="2"/>
      <c r="D3" s="2"/>
      <c r="E3" s="2"/>
      <c r="F3" s="2"/>
      <c r="G3" s="2"/>
    </row>
    <row r="5" spans="1:8" ht="15" customHeight="1" x14ac:dyDescent="0.3">
      <c r="A5" s="16" t="s">
        <v>115</v>
      </c>
      <c r="B5" s="16" t="s">
        <v>116</v>
      </c>
      <c r="C5" s="16" t="s">
        <v>117</v>
      </c>
      <c r="D5" s="16" t="s">
        <v>118</v>
      </c>
      <c r="E5" s="16" t="s">
        <v>119</v>
      </c>
      <c r="F5" s="16" t="s">
        <v>120</v>
      </c>
      <c r="G5" s="16" t="s">
        <v>20</v>
      </c>
    </row>
    <row r="6" spans="1:8" ht="15" customHeight="1" x14ac:dyDescent="0.3">
      <c r="A6" s="15" t="s">
        <v>121</v>
      </c>
      <c r="B6" s="37">
        <f>Inputs!B18</f>
        <v>519</v>
      </c>
      <c r="C6" s="34">
        <v>0.9</v>
      </c>
      <c r="D6" s="32">
        <f>ROUND(B6*C6,0)</f>
        <v>467</v>
      </c>
      <c r="E6" s="37">
        <f>Inputs!B25</f>
        <v>18</v>
      </c>
      <c r="F6" s="32">
        <f>D6*E6</f>
        <v>8406</v>
      </c>
      <c r="G6" s="38"/>
    </row>
    <row r="7" spans="1:8" ht="15" customHeight="1" x14ac:dyDescent="0.3">
      <c r="A7" s="15" t="s">
        <v>122</v>
      </c>
      <c r="B7" s="37">
        <f>Inputs!B19</f>
        <v>1137</v>
      </c>
      <c r="C7" s="34">
        <v>0.75</v>
      </c>
      <c r="D7" s="32">
        <f>ROUND(B7*C7,0)</f>
        <v>853</v>
      </c>
      <c r="E7" s="37">
        <f>Inputs!B26</f>
        <v>12</v>
      </c>
      <c r="F7" s="32">
        <f>D7*E7</f>
        <v>10236</v>
      </c>
      <c r="G7" s="38"/>
    </row>
    <row r="8" spans="1:8" ht="15" customHeight="1" x14ac:dyDescent="0.3">
      <c r="A8" s="15" t="s">
        <v>123</v>
      </c>
      <c r="B8" s="37">
        <f>Inputs!B20</f>
        <v>4657</v>
      </c>
      <c r="C8" s="34">
        <v>0.6</v>
      </c>
      <c r="D8" s="32">
        <f>ROUND(B8*C8,0)</f>
        <v>2794</v>
      </c>
      <c r="E8" s="37">
        <f>Inputs!B27</f>
        <v>6</v>
      </c>
      <c r="F8" s="32">
        <f>D8*E8</f>
        <v>16764</v>
      </c>
      <c r="G8" s="38"/>
    </row>
    <row r="9" spans="1:8" ht="15" customHeight="1" x14ac:dyDescent="0.3">
      <c r="A9" s="15" t="s">
        <v>124</v>
      </c>
      <c r="B9" s="37">
        <f>Inputs!B21</f>
        <v>5827</v>
      </c>
      <c r="C9" s="34">
        <v>0.45</v>
      </c>
      <c r="D9" s="32">
        <f>ROUND(B9*C9,0)</f>
        <v>2622</v>
      </c>
      <c r="E9" s="37">
        <f>Inputs!B28</f>
        <v>6</v>
      </c>
      <c r="F9" s="32">
        <f>D9*E9</f>
        <v>15732</v>
      </c>
      <c r="G9" s="38"/>
    </row>
    <row r="10" spans="1:8" ht="24" customHeight="1" x14ac:dyDescent="0.3">
      <c r="A10" s="1" t="s">
        <v>125</v>
      </c>
      <c r="B10" s="1"/>
      <c r="C10" s="1"/>
      <c r="D10" s="32">
        <f>SUM(D6:D9)</f>
        <v>6736</v>
      </c>
      <c r="E10" s="32" t="s">
        <v>126</v>
      </c>
      <c r="F10" s="32">
        <f>SUM(F6:F9)</f>
        <v>51138</v>
      </c>
      <c r="G10" s="39">
        <f>CEILING(F10/Inputs!B6,1)</f>
        <v>39</v>
      </c>
    </row>
    <row r="12" spans="1:8" ht="36" customHeight="1" x14ac:dyDescent="0.3">
      <c r="A12" s="49" t="s">
        <v>127</v>
      </c>
      <c r="B12" s="49"/>
      <c r="C12" s="49"/>
      <c r="D12" s="49"/>
      <c r="E12" s="49"/>
      <c r="F12" s="49"/>
      <c r="G12" s="49"/>
    </row>
    <row r="16" spans="1:8" ht="15" customHeight="1" x14ac:dyDescent="0.3">
      <c r="H16" s="28">
        <f>G10</f>
        <v>39</v>
      </c>
    </row>
  </sheetData>
  <mergeCells count="6">
    <mergeCell ref="A12:G12"/>
    <mergeCell ref="A1:G1"/>
    <mergeCell ref="A2:D2"/>
    <mergeCell ref="F2:G2"/>
    <mergeCell ref="B3:G3"/>
    <mergeCell ref="A10:C10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ecimal" operator="lessThanOrEqual" showErrorMessage="1" errorTitle="Reach Cap Exceeded" error="Reach must not exceed max reach cap (Inputs!B15 = 90% for rare markets)" xr:uid="{00000000-0002-0000-0200-000000000000}">
          <x14:formula1>
            <xm:f>Inputs!$B$15</xm:f>
          </x14:formula1>
          <x14:formula2>
            <xm:f>0</xm:f>
          </x14:formula2>
          <xm:sqref>C6:C9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6" customWidth="1"/>
    <col min="3" max="3" width="14" customWidth="1"/>
    <col min="4" max="4" width="16" customWidth="1"/>
    <col min="5" max="5" width="18" customWidth="1"/>
    <col min="6" max="6" width="16" customWidth="1"/>
    <col min="7" max="7" width="18" customWidth="1"/>
  </cols>
  <sheetData>
    <row r="1" spans="1:8" ht="15" customHeight="1" x14ac:dyDescent="0.3">
      <c r="A1" s="10" t="s">
        <v>128</v>
      </c>
      <c r="B1" s="10"/>
      <c r="C1" s="10"/>
      <c r="D1" s="10"/>
      <c r="E1" s="10"/>
      <c r="F1" s="10"/>
      <c r="G1" s="10"/>
      <c r="H1" s="10"/>
    </row>
    <row r="3" spans="1:8" ht="15" customHeight="1" x14ac:dyDescent="0.3">
      <c r="A3" s="50" t="s">
        <v>129</v>
      </c>
      <c r="B3" s="50"/>
      <c r="C3" s="50"/>
      <c r="D3" s="50"/>
      <c r="E3" s="50"/>
      <c r="F3" s="50"/>
      <c r="G3" s="50"/>
    </row>
    <row r="4" spans="1:8" ht="15" customHeight="1" x14ac:dyDescent="0.3">
      <c r="A4" s="40" t="s">
        <v>115</v>
      </c>
      <c r="B4" s="40" t="s">
        <v>116</v>
      </c>
      <c r="C4" s="40" t="s">
        <v>117</v>
      </c>
      <c r="D4" s="40" t="s">
        <v>118</v>
      </c>
      <c r="E4" s="40" t="s">
        <v>119</v>
      </c>
      <c r="F4" s="40" t="s">
        <v>120</v>
      </c>
      <c r="G4" s="40" t="s">
        <v>20</v>
      </c>
    </row>
    <row r="5" spans="1:8" ht="15" customHeight="1" x14ac:dyDescent="0.3">
      <c r="A5" s="15" t="s">
        <v>121</v>
      </c>
      <c r="B5" s="37">
        <f>Inputs!B18</f>
        <v>519</v>
      </c>
      <c r="C5" s="34">
        <v>0.9</v>
      </c>
      <c r="D5" s="32">
        <f>ROUND(B5*C5,0)</f>
        <v>467</v>
      </c>
      <c r="E5" s="37">
        <f>Normal_Workload!E6</f>
        <v>18</v>
      </c>
      <c r="F5" s="32">
        <f>D5*E5</f>
        <v>8406</v>
      </c>
      <c r="G5" s="38"/>
    </row>
    <row r="6" spans="1:8" ht="15" customHeight="1" x14ac:dyDescent="0.3">
      <c r="A6" s="15" t="s">
        <v>122</v>
      </c>
      <c r="B6" s="37">
        <f>Inputs!B19</f>
        <v>1137</v>
      </c>
      <c r="C6" s="34">
        <v>0.85</v>
      </c>
      <c r="D6" s="32">
        <f>ROUND(B6*C6,0)</f>
        <v>966</v>
      </c>
      <c r="E6" s="37">
        <f>Normal_Workload!E7</f>
        <v>12</v>
      </c>
      <c r="F6" s="32">
        <f>D6*E6</f>
        <v>11592</v>
      </c>
      <c r="G6" s="38"/>
    </row>
    <row r="7" spans="1:8" ht="15" customHeight="1" x14ac:dyDescent="0.3">
      <c r="A7" s="15" t="s">
        <v>123</v>
      </c>
      <c r="B7" s="37">
        <f>Inputs!B20</f>
        <v>4657</v>
      </c>
      <c r="C7" s="34">
        <v>0.7</v>
      </c>
      <c r="D7" s="32">
        <f>ROUND(B7*C7,0)</f>
        <v>3260</v>
      </c>
      <c r="E7" s="37">
        <f>Normal_Workload!E8</f>
        <v>6</v>
      </c>
      <c r="F7" s="32">
        <f>D7*E7</f>
        <v>19560</v>
      </c>
      <c r="G7" s="38"/>
    </row>
    <row r="8" spans="1:8" ht="15" customHeight="1" x14ac:dyDescent="0.3">
      <c r="A8" s="15" t="s">
        <v>124</v>
      </c>
      <c r="B8" s="37">
        <f>Inputs!B21</f>
        <v>5827</v>
      </c>
      <c r="C8" s="34">
        <v>0.55000000000000004</v>
      </c>
      <c r="D8" s="32">
        <f>ROUND(B8*C8,0)</f>
        <v>3205</v>
      </c>
      <c r="E8" s="37">
        <f>Normal_Workload!E9</f>
        <v>6</v>
      </c>
      <c r="F8" s="32">
        <f>D8*E8</f>
        <v>19230</v>
      </c>
      <c r="G8" s="38"/>
    </row>
    <row r="9" spans="1:8" ht="15" customHeight="1" x14ac:dyDescent="0.3">
      <c r="A9" s="51" t="s">
        <v>125</v>
      </c>
      <c r="B9" s="51"/>
      <c r="C9" s="51"/>
      <c r="D9" s="32">
        <f>SUM(D5:D8)</f>
        <v>7898</v>
      </c>
      <c r="E9" s="38" t="s">
        <v>126</v>
      </c>
      <c r="F9" s="32">
        <f>SUM(F5:F8)</f>
        <v>58788</v>
      </c>
      <c r="G9" s="41">
        <f>CEILING(F9/Inputs!B6,1)</f>
        <v>45</v>
      </c>
      <c r="H9" s="28">
        <f>G9</f>
        <v>45</v>
      </c>
    </row>
    <row r="14" spans="1:8" ht="15" customHeight="1" x14ac:dyDescent="0.3">
      <c r="A14" s="50" t="s">
        <v>130</v>
      </c>
      <c r="B14" s="50"/>
      <c r="C14" s="50"/>
      <c r="D14" s="50"/>
      <c r="E14" s="50"/>
      <c r="F14" s="50"/>
      <c r="G14" s="50"/>
    </row>
    <row r="15" spans="1:8" ht="15" customHeight="1" x14ac:dyDescent="0.3">
      <c r="A15" s="40" t="s">
        <v>115</v>
      </c>
      <c r="B15" s="40" t="s">
        <v>116</v>
      </c>
      <c r="C15" s="40" t="s">
        <v>117</v>
      </c>
      <c r="D15" s="40" t="s">
        <v>118</v>
      </c>
      <c r="E15" s="40" t="s">
        <v>119</v>
      </c>
      <c r="F15" s="40" t="s">
        <v>120</v>
      </c>
      <c r="G15" s="40" t="s">
        <v>20</v>
      </c>
    </row>
    <row r="16" spans="1:8" ht="15" customHeight="1" x14ac:dyDescent="0.3">
      <c r="A16" s="15" t="s">
        <v>121</v>
      </c>
      <c r="B16" s="37">
        <f>Inputs!B18</f>
        <v>519</v>
      </c>
      <c r="C16" s="42">
        <f>Normal_Workload!C6</f>
        <v>0.9</v>
      </c>
      <c r="D16" s="32">
        <f>ROUND(B16*C16,0)</f>
        <v>467</v>
      </c>
      <c r="E16" s="37">
        <f>Normal_Workload!E6</f>
        <v>18</v>
      </c>
      <c r="F16" s="32">
        <f>D16*E16</f>
        <v>8406</v>
      </c>
      <c r="G16" s="38"/>
    </row>
    <row r="17" spans="1:8" ht="15" customHeight="1" x14ac:dyDescent="0.3">
      <c r="A17" s="15" t="s">
        <v>122</v>
      </c>
      <c r="B17" s="37">
        <f>Inputs!B19</f>
        <v>1137</v>
      </c>
      <c r="C17" s="42">
        <f>Normal_Workload!C7</f>
        <v>0.75</v>
      </c>
      <c r="D17" s="32">
        <f>ROUND(B17*C17,0)</f>
        <v>853</v>
      </c>
      <c r="E17" s="37">
        <f>Normal_Workload!E7</f>
        <v>12</v>
      </c>
      <c r="F17" s="32">
        <f>D17*E17</f>
        <v>10236</v>
      </c>
      <c r="G17" s="38"/>
    </row>
    <row r="18" spans="1:8" ht="15" customHeight="1" x14ac:dyDescent="0.3">
      <c r="A18" s="15" t="s">
        <v>123</v>
      </c>
      <c r="B18" s="37">
        <f>Inputs!B20</f>
        <v>4657</v>
      </c>
      <c r="C18" s="42">
        <f>Normal_Workload!C8</f>
        <v>0.6</v>
      </c>
      <c r="D18" s="32">
        <f>ROUND(B18*C18,0)</f>
        <v>2794</v>
      </c>
      <c r="E18" s="37">
        <f>Normal_Workload!E8</f>
        <v>6</v>
      </c>
      <c r="F18" s="32">
        <f>D18*E18</f>
        <v>16764</v>
      </c>
      <c r="G18" s="38"/>
    </row>
    <row r="19" spans="1:8" ht="15" customHeight="1" x14ac:dyDescent="0.3">
      <c r="A19" s="15" t="s">
        <v>124</v>
      </c>
      <c r="B19" s="37">
        <f>Inputs!B21</f>
        <v>5827</v>
      </c>
      <c r="C19" s="42">
        <f>Normal_Workload!C9</f>
        <v>0.45</v>
      </c>
      <c r="D19" s="32">
        <f>ROUND(B19*C19,0)</f>
        <v>2622</v>
      </c>
      <c r="E19" s="37">
        <f>Normal_Workload!E9</f>
        <v>6</v>
      </c>
      <c r="F19" s="32">
        <f>D19*E19</f>
        <v>15732</v>
      </c>
      <c r="G19" s="38"/>
    </row>
    <row r="20" spans="1:8" ht="15" customHeight="1" x14ac:dyDescent="0.3">
      <c r="A20" s="51" t="s">
        <v>125</v>
      </c>
      <c r="B20" s="51"/>
      <c r="C20" s="51"/>
      <c r="D20" s="32">
        <f>SUM(D16:D19)</f>
        <v>6736</v>
      </c>
      <c r="E20" s="38" t="s">
        <v>126</v>
      </c>
      <c r="F20" s="32">
        <f>SUM(F16:F19)</f>
        <v>51138</v>
      </c>
      <c r="G20" s="41">
        <f>CEILING(F20/Inputs!B6,1)</f>
        <v>39</v>
      </c>
      <c r="H20" s="28">
        <f>G20</f>
        <v>39</v>
      </c>
    </row>
    <row r="25" spans="1:8" ht="15" customHeight="1" x14ac:dyDescent="0.3">
      <c r="A25" s="50" t="s">
        <v>131</v>
      </c>
      <c r="B25" s="50"/>
      <c r="C25" s="50"/>
      <c r="D25" s="50"/>
      <c r="E25" s="50"/>
      <c r="F25" s="50"/>
      <c r="G25" s="50"/>
    </row>
    <row r="26" spans="1:8" ht="15" customHeight="1" x14ac:dyDescent="0.3">
      <c r="A26" s="40" t="s">
        <v>115</v>
      </c>
      <c r="B26" s="40" t="s">
        <v>116</v>
      </c>
      <c r="C26" s="40" t="s">
        <v>117</v>
      </c>
      <c r="D26" s="40" t="s">
        <v>118</v>
      </c>
      <c r="E26" s="40" t="s">
        <v>119</v>
      </c>
      <c r="F26" s="40" t="s">
        <v>120</v>
      </c>
      <c r="G26" s="40" t="s">
        <v>20</v>
      </c>
    </row>
    <row r="27" spans="1:8" ht="15" customHeight="1" x14ac:dyDescent="0.3">
      <c r="A27" s="15" t="s">
        <v>121</v>
      </c>
      <c r="B27" s="37">
        <f>Inputs!B18</f>
        <v>519</v>
      </c>
      <c r="C27" s="34">
        <v>0.75</v>
      </c>
      <c r="D27" s="32">
        <f>ROUND(B27*C27,0)</f>
        <v>389</v>
      </c>
      <c r="E27" s="37">
        <f>Normal_Workload!E6</f>
        <v>18</v>
      </c>
      <c r="F27" s="32">
        <f>D27*E27</f>
        <v>7002</v>
      </c>
      <c r="G27" s="38"/>
    </row>
    <row r="28" spans="1:8" ht="15" customHeight="1" x14ac:dyDescent="0.3">
      <c r="A28" s="15" t="s">
        <v>122</v>
      </c>
      <c r="B28" s="37">
        <f>Inputs!B19</f>
        <v>1137</v>
      </c>
      <c r="C28" s="34">
        <v>0.6</v>
      </c>
      <c r="D28" s="32">
        <f>ROUND(B28*C28,0)</f>
        <v>682</v>
      </c>
      <c r="E28" s="37">
        <f>Normal_Workload!E7</f>
        <v>12</v>
      </c>
      <c r="F28" s="32">
        <f>D28*E28</f>
        <v>8184</v>
      </c>
      <c r="G28" s="38"/>
    </row>
    <row r="29" spans="1:8" ht="15" customHeight="1" x14ac:dyDescent="0.3">
      <c r="A29" s="15" t="s">
        <v>123</v>
      </c>
      <c r="B29" s="37">
        <f>Inputs!B20</f>
        <v>4657</v>
      </c>
      <c r="C29" s="34">
        <v>0.45</v>
      </c>
      <c r="D29" s="32">
        <f>ROUND(B29*C29,0)</f>
        <v>2096</v>
      </c>
      <c r="E29" s="37">
        <f>Normal_Workload!E8</f>
        <v>6</v>
      </c>
      <c r="F29" s="32">
        <f>D29*E29</f>
        <v>12576</v>
      </c>
      <c r="G29" s="38"/>
    </row>
    <row r="30" spans="1:8" ht="15" customHeight="1" x14ac:dyDescent="0.3">
      <c r="A30" s="15" t="s">
        <v>124</v>
      </c>
      <c r="B30" s="37">
        <f>Inputs!B21</f>
        <v>5827</v>
      </c>
      <c r="C30" s="34">
        <v>0.3</v>
      </c>
      <c r="D30" s="32">
        <f>ROUND(B30*C30,0)</f>
        <v>1748</v>
      </c>
      <c r="E30" s="37">
        <f>Normal_Workload!E9</f>
        <v>6</v>
      </c>
      <c r="F30" s="32">
        <f>D30*E30</f>
        <v>10488</v>
      </c>
      <c r="G30" s="38"/>
    </row>
    <row r="31" spans="1:8" ht="15" customHeight="1" x14ac:dyDescent="0.3">
      <c r="A31" s="51" t="s">
        <v>125</v>
      </c>
      <c r="B31" s="51"/>
      <c r="C31" s="51"/>
      <c r="D31" s="32">
        <f>SUM(D27:D30)</f>
        <v>4915</v>
      </c>
      <c r="E31" s="38" t="s">
        <v>126</v>
      </c>
      <c r="F31" s="32">
        <f>SUM(F27:F30)</f>
        <v>38250</v>
      </c>
      <c r="G31" s="41">
        <f>CEILING(F31/Inputs!B6,1)</f>
        <v>29</v>
      </c>
      <c r="H31" s="28">
        <f>G31</f>
        <v>29</v>
      </c>
    </row>
    <row r="36" spans="1:8" ht="21.75" customHeight="1" x14ac:dyDescent="0.3">
      <c r="A36" s="49" t="s">
        <v>132</v>
      </c>
      <c r="B36" s="49"/>
      <c r="C36" s="49"/>
      <c r="D36" s="49"/>
      <c r="E36" s="49"/>
      <c r="F36" s="49"/>
      <c r="G36" s="49"/>
      <c r="H36" s="49"/>
    </row>
  </sheetData>
  <mergeCells count="8">
    <mergeCell ref="A25:G25"/>
    <mergeCell ref="A31:C31"/>
    <mergeCell ref="A36:H36"/>
    <mergeCell ref="A1:H1"/>
    <mergeCell ref="A3:G3"/>
    <mergeCell ref="A9:C9"/>
    <mergeCell ref="A14:G14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6" customWidth="1"/>
    <col min="3" max="3" width="14" customWidth="1"/>
    <col min="4" max="4" width="16" customWidth="1"/>
    <col min="5" max="5" width="18" customWidth="1"/>
    <col min="6" max="6" width="16" customWidth="1"/>
    <col min="7" max="7" width="18" customWidth="1"/>
  </cols>
  <sheetData>
    <row r="1" spans="1:8" ht="15" customHeight="1" x14ac:dyDescent="0.3">
      <c r="A1" s="10" t="s">
        <v>133</v>
      </c>
      <c r="B1" s="10"/>
      <c r="C1" s="10"/>
      <c r="D1" s="10"/>
      <c r="E1" s="10"/>
      <c r="F1" s="10"/>
      <c r="G1" s="10"/>
      <c r="H1" s="10"/>
    </row>
    <row r="3" spans="1:8" ht="15" customHeight="1" x14ac:dyDescent="0.3">
      <c r="A3" s="50" t="s">
        <v>134</v>
      </c>
      <c r="B3" s="50"/>
      <c r="C3" s="50"/>
      <c r="D3" s="50"/>
      <c r="E3" s="50"/>
      <c r="F3" s="50"/>
      <c r="G3" s="50"/>
    </row>
    <row r="4" spans="1:8" ht="15" customHeight="1" x14ac:dyDescent="0.3">
      <c r="A4" s="40" t="s">
        <v>115</v>
      </c>
      <c r="B4" s="40" t="s">
        <v>116</v>
      </c>
      <c r="C4" s="40" t="s">
        <v>117</v>
      </c>
      <c r="D4" s="40" t="s">
        <v>118</v>
      </c>
      <c r="E4" s="40" t="s">
        <v>119</v>
      </c>
      <c r="F4" s="40" t="s">
        <v>120</v>
      </c>
      <c r="G4" s="40" t="s">
        <v>20</v>
      </c>
    </row>
    <row r="5" spans="1:8" ht="15" customHeight="1" x14ac:dyDescent="0.3">
      <c r="A5" s="15" t="s">
        <v>121</v>
      </c>
      <c r="B5" s="37">
        <f>Inputs!B18</f>
        <v>519</v>
      </c>
      <c r="C5" s="42">
        <f>Normal_Workload!C6</f>
        <v>0.9</v>
      </c>
      <c r="D5" s="32">
        <f>ROUND(B5*C5,0)</f>
        <v>467</v>
      </c>
      <c r="E5" s="43">
        <v>24</v>
      </c>
      <c r="F5" s="32">
        <f>D5*E5</f>
        <v>11208</v>
      </c>
      <c r="G5" s="38"/>
    </row>
    <row r="6" spans="1:8" ht="15" customHeight="1" x14ac:dyDescent="0.3">
      <c r="A6" s="15" t="s">
        <v>122</v>
      </c>
      <c r="B6" s="37">
        <f>Inputs!B19</f>
        <v>1137</v>
      </c>
      <c r="C6" s="42">
        <f>Normal_Workload!C7</f>
        <v>0.75</v>
      </c>
      <c r="D6" s="32">
        <f>ROUND(B6*C6,0)</f>
        <v>853</v>
      </c>
      <c r="E6" s="43">
        <v>18</v>
      </c>
      <c r="F6" s="32">
        <f>D6*E6</f>
        <v>15354</v>
      </c>
      <c r="G6" s="38"/>
    </row>
    <row r="7" spans="1:8" ht="15" customHeight="1" x14ac:dyDescent="0.3">
      <c r="A7" s="15" t="s">
        <v>123</v>
      </c>
      <c r="B7" s="37">
        <f>Inputs!B20</f>
        <v>4657</v>
      </c>
      <c r="C7" s="42">
        <f>Normal_Workload!C8</f>
        <v>0.6</v>
      </c>
      <c r="D7" s="32">
        <f>ROUND(B7*C7,0)</f>
        <v>2794</v>
      </c>
      <c r="E7" s="43">
        <v>12</v>
      </c>
      <c r="F7" s="32">
        <f>D7*E7</f>
        <v>33528</v>
      </c>
      <c r="G7" s="38"/>
    </row>
    <row r="8" spans="1:8" ht="15" customHeight="1" x14ac:dyDescent="0.3">
      <c r="A8" s="15" t="s">
        <v>124</v>
      </c>
      <c r="B8" s="37">
        <f>Inputs!B21</f>
        <v>5827</v>
      </c>
      <c r="C8" s="42">
        <f>Normal_Workload!C9</f>
        <v>0.45</v>
      </c>
      <c r="D8" s="32">
        <f>ROUND(B8*C8,0)</f>
        <v>2622</v>
      </c>
      <c r="E8" s="43">
        <v>6</v>
      </c>
      <c r="F8" s="32">
        <f>D8*E8</f>
        <v>15732</v>
      </c>
      <c r="G8" s="38"/>
    </row>
    <row r="9" spans="1:8" ht="15" customHeight="1" x14ac:dyDescent="0.3">
      <c r="A9" s="51" t="s">
        <v>125</v>
      </c>
      <c r="B9" s="51"/>
      <c r="C9" s="51"/>
      <c r="D9" s="32">
        <f>SUM(D5:D8)</f>
        <v>6736</v>
      </c>
      <c r="E9" s="38" t="s">
        <v>126</v>
      </c>
      <c r="F9" s="32">
        <f>SUM(F5:F8)</f>
        <v>75822</v>
      </c>
      <c r="G9" s="41">
        <f>CEILING(F9/Inputs!B6,1)</f>
        <v>58</v>
      </c>
      <c r="H9" s="28">
        <f>G9</f>
        <v>58</v>
      </c>
    </row>
    <row r="14" spans="1:8" ht="15" customHeight="1" x14ac:dyDescent="0.3">
      <c r="A14" s="50" t="s">
        <v>135</v>
      </c>
      <c r="B14" s="50"/>
      <c r="C14" s="50"/>
      <c r="D14" s="50"/>
      <c r="E14" s="50"/>
      <c r="F14" s="50"/>
      <c r="G14" s="50"/>
    </row>
    <row r="15" spans="1:8" ht="15" customHeight="1" x14ac:dyDescent="0.3">
      <c r="A15" s="40" t="s">
        <v>115</v>
      </c>
      <c r="B15" s="40" t="s">
        <v>116</v>
      </c>
      <c r="C15" s="40" t="s">
        <v>117</v>
      </c>
      <c r="D15" s="40" t="s">
        <v>118</v>
      </c>
      <c r="E15" s="40" t="s">
        <v>119</v>
      </c>
      <c r="F15" s="40" t="s">
        <v>120</v>
      </c>
      <c r="G15" s="40" t="s">
        <v>20</v>
      </c>
    </row>
    <row r="16" spans="1:8" ht="15" customHeight="1" x14ac:dyDescent="0.3">
      <c r="A16" s="15" t="s">
        <v>121</v>
      </c>
      <c r="B16" s="37">
        <f>Inputs!B18</f>
        <v>519</v>
      </c>
      <c r="C16" s="42">
        <f>Normal_Workload!C6</f>
        <v>0.9</v>
      </c>
      <c r="D16" s="32">
        <f>ROUND(B16*C16,0)</f>
        <v>467</v>
      </c>
      <c r="E16" s="37">
        <f>Normal_Workload!E6</f>
        <v>18</v>
      </c>
      <c r="F16" s="32">
        <f>D16*E16</f>
        <v>8406</v>
      </c>
      <c r="G16" s="38"/>
    </row>
    <row r="17" spans="1:8" ht="15" customHeight="1" x14ac:dyDescent="0.3">
      <c r="A17" s="15" t="s">
        <v>122</v>
      </c>
      <c r="B17" s="37">
        <f>Inputs!B19</f>
        <v>1137</v>
      </c>
      <c r="C17" s="42">
        <f>Normal_Workload!C7</f>
        <v>0.75</v>
      </c>
      <c r="D17" s="32">
        <f>ROUND(B17*C17,0)</f>
        <v>853</v>
      </c>
      <c r="E17" s="37">
        <f>Normal_Workload!E7</f>
        <v>12</v>
      </c>
      <c r="F17" s="32">
        <f>D17*E17</f>
        <v>10236</v>
      </c>
      <c r="G17" s="38"/>
    </row>
    <row r="18" spans="1:8" ht="15" customHeight="1" x14ac:dyDescent="0.3">
      <c r="A18" s="15" t="s">
        <v>123</v>
      </c>
      <c r="B18" s="37">
        <f>Inputs!B20</f>
        <v>4657</v>
      </c>
      <c r="C18" s="42">
        <f>Normal_Workload!C8</f>
        <v>0.6</v>
      </c>
      <c r="D18" s="32">
        <f>ROUND(B18*C18,0)</f>
        <v>2794</v>
      </c>
      <c r="E18" s="37">
        <f>Normal_Workload!E8</f>
        <v>6</v>
      </c>
      <c r="F18" s="32">
        <f>D18*E18</f>
        <v>16764</v>
      </c>
      <c r="G18" s="38"/>
    </row>
    <row r="19" spans="1:8" ht="15" customHeight="1" x14ac:dyDescent="0.3">
      <c r="A19" s="15" t="s">
        <v>124</v>
      </c>
      <c r="B19" s="37">
        <f>Inputs!B21</f>
        <v>5827</v>
      </c>
      <c r="C19" s="42">
        <f>Normal_Workload!C9</f>
        <v>0.45</v>
      </c>
      <c r="D19" s="32">
        <f>ROUND(B19*C19,0)</f>
        <v>2622</v>
      </c>
      <c r="E19" s="37">
        <f>Normal_Workload!E9</f>
        <v>6</v>
      </c>
      <c r="F19" s="32">
        <f>D19*E19</f>
        <v>15732</v>
      </c>
      <c r="G19" s="38"/>
    </row>
    <row r="20" spans="1:8" ht="15" customHeight="1" x14ac:dyDescent="0.3">
      <c r="A20" s="51" t="s">
        <v>125</v>
      </c>
      <c r="B20" s="51"/>
      <c r="C20" s="51"/>
      <c r="D20" s="32">
        <f>SUM(D16:D19)</f>
        <v>6736</v>
      </c>
      <c r="E20" s="38" t="s">
        <v>126</v>
      </c>
      <c r="F20" s="32">
        <f>SUM(F16:F19)</f>
        <v>51138</v>
      </c>
      <c r="G20" s="41">
        <f>CEILING(F20/Inputs!B6,1)</f>
        <v>39</v>
      </c>
      <c r="H20" s="28">
        <f>G20</f>
        <v>39</v>
      </c>
    </row>
    <row r="25" spans="1:8" ht="15" customHeight="1" x14ac:dyDescent="0.3">
      <c r="A25" s="50" t="s">
        <v>136</v>
      </c>
      <c r="B25" s="50"/>
      <c r="C25" s="50"/>
      <c r="D25" s="50"/>
      <c r="E25" s="50"/>
      <c r="F25" s="50"/>
      <c r="G25" s="50"/>
    </row>
    <row r="26" spans="1:8" ht="15" customHeight="1" x14ac:dyDescent="0.3">
      <c r="A26" s="40" t="s">
        <v>115</v>
      </c>
      <c r="B26" s="40" t="s">
        <v>116</v>
      </c>
      <c r="C26" s="40" t="s">
        <v>117</v>
      </c>
      <c r="D26" s="40" t="s">
        <v>118</v>
      </c>
      <c r="E26" s="40" t="s">
        <v>119</v>
      </c>
      <c r="F26" s="40" t="s">
        <v>120</v>
      </c>
      <c r="G26" s="40" t="s">
        <v>20</v>
      </c>
    </row>
    <row r="27" spans="1:8" ht="15" customHeight="1" x14ac:dyDescent="0.3">
      <c r="A27" s="15" t="s">
        <v>121</v>
      </c>
      <c r="B27" s="37">
        <f>Inputs!B18</f>
        <v>519</v>
      </c>
      <c r="C27" s="42">
        <f>Normal_Workload!C6</f>
        <v>0.9</v>
      </c>
      <c r="D27" s="32">
        <f>ROUND(B27*C27,0)</f>
        <v>467</v>
      </c>
      <c r="E27" s="43">
        <v>12</v>
      </c>
      <c r="F27" s="32">
        <f>D27*E27</f>
        <v>5604</v>
      </c>
      <c r="G27" s="38"/>
    </row>
    <row r="28" spans="1:8" ht="15" customHeight="1" x14ac:dyDescent="0.3">
      <c r="A28" s="15" t="s">
        <v>122</v>
      </c>
      <c r="B28" s="37">
        <f>Inputs!B19</f>
        <v>1137</v>
      </c>
      <c r="C28" s="42">
        <f>Normal_Workload!C7</f>
        <v>0.75</v>
      </c>
      <c r="D28" s="32">
        <f>ROUND(B28*C28,0)</f>
        <v>853</v>
      </c>
      <c r="E28" s="43">
        <v>6</v>
      </c>
      <c r="F28" s="32">
        <f>D28*E28</f>
        <v>5118</v>
      </c>
      <c r="G28" s="38"/>
    </row>
    <row r="29" spans="1:8" ht="15" customHeight="1" x14ac:dyDescent="0.3">
      <c r="A29" s="15" t="s">
        <v>123</v>
      </c>
      <c r="B29" s="37">
        <f>Inputs!B20</f>
        <v>4657</v>
      </c>
      <c r="C29" s="42">
        <f>Normal_Workload!C8</f>
        <v>0.6</v>
      </c>
      <c r="D29" s="32">
        <f>ROUND(B29*C29,0)</f>
        <v>2794</v>
      </c>
      <c r="E29" s="43">
        <v>6</v>
      </c>
      <c r="F29" s="32">
        <f>D29*E29</f>
        <v>16764</v>
      </c>
      <c r="G29" s="38"/>
    </row>
    <row r="30" spans="1:8" ht="15" customHeight="1" x14ac:dyDescent="0.3">
      <c r="A30" s="15" t="s">
        <v>124</v>
      </c>
      <c r="B30" s="37">
        <f>Inputs!B21</f>
        <v>5827</v>
      </c>
      <c r="C30" s="42">
        <f>Normal_Workload!C9</f>
        <v>0.45</v>
      </c>
      <c r="D30" s="32">
        <f>ROUND(B30*C30,0)</f>
        <v>2622</v>
      </c>
      <c r="E30" s="43">
        <v>6</v>
      </c>
      <c r="F30" s="32">
        <f>D30*E30</f>
        <v>15732</v>
      </c>
      <c r="G30" s="38"/>
    </row>
    <row r="31" spans="1:8" ht="15" customHeight="1" x14ac:dyDescent="0.3">
      <c r="A31" s="51" t="s">
        <v>125</v>
      </c>
      <c r="B31" s="51"/>
      <c r="C31" s="51"/>
      <c r="D31" s="32">
        <f>SUM(D27:D30)</f>
        <v>6736</v>
      </c>
      <c r="E31" s="38" t="s">
        <v>126</v>
      </c>
      <c r="F31" s="32">
        <f>SUM(F27:F30)</f>
        <v>43218</v>
      </c>
      <c r="G31" s="41">
        <f>CEILING(F31/Inputs!B6,1)</f>
        <v>33</v>
      </c>
      <c r="H31" s="28">
        <f>G31</f>
        <v>33</v>
      </c>
    </row>
    <row r="36" spans="1:8" ht="21.75" customHeight="1" x14ac:dyDescent="0.3">
      <c r="A36" s="49" t="s">
        <v>137</v>
      </c>
      <c r="B36" s="49"/>
      <c r="C36" s="49"/>
      <c r="D36" s="49"/>
      <c r="E36" s="49"/>
      <c r="F36" s="49"/>
      <c r="G36" s="49"/>
      <c r="H36" s="49"/>
    </row>
  </sheetData>
  <mergeCells count="8">
    <mergeCell ref="A25:G25"/>
    <mergeCell ref="A31:C31"/>
    <mergeCell ref="A36:H36"/>
    <mergeCell ref="A1:H1"/>
    <mergeCell ref="A3:G3"/>
    <mergeCell ref="A9:C9"/>
    <mergeCell ref="A14:G14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3" customWidth="1"/>
    <col min="3" max="3" width="12" customWidth="1"/>
    <col min="4" max="6" width="13" customWidth="1"/>
    <col min="7" max="8" width="14" customWidth="1"/>
    <col min="9" max="9" width="13" customWidth="1"/>
    <col min="10" max="10" width="14" customWidth="1"/>
  </cols>
  <sheetData>
    <row r="1" spans="1:10" ht="15" customHeight="1" x14ac:dyDescent="0.3">
      <c r="A1" s="10" t="s">
        <v>138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ht="15" customHeight="1" x14ac:dyDescent="0.3">
      <c r="A3" s="50" t="s">
        <v>139</v>
      </c>
      <c r="B3" s="50"/>
      <c r="C3" s="50"/>
      <c r="D3" s="50"/>
      <c r="E3" s="50"/>
      <c r="F3" s="50"/>
      <c r="G3" s="50"/>
      <c r="H3" s="50"/>
      <c r="I3" s="50"/>
      <c r="J3" s="50"/>
    </row>
    <row r="4" spans="1:10" ht="15" customHeight="1" x14ac:dyDescent="0.3">
      <c r="A4" s="40" t="s">
        <v>115</v>
      </c>
      <c r="B4" s="40" t="s">
        <v>40</v>
      </c>
      <c r="C4" s="40" t="s">
        <v>116</v>
      </c>
      <c r="D4" s="40" t="s">
        <v>140</v>
      </c>
      <c r="E4" s="40" t="s">
        <v>141</v>
      </c>
      <c r="F4" s="40" t="s">
        <v>117</v>
      </c>
      <c r="G4" s="40" t="s">
        <v>118</v>
      </c>
      <c r="H4" s="40" t="s">
        <v>142</v>
      </c>
      <c r="I4" s="40" t="s">
        <v>120</v>
      </c>
      <c r="J4" s="40" t="s">
        <v>20</v>
      </c>
    </row>
    <row r="5" spans="1:10" ht="15" customHeight="1" x14ac:dyDescent="0.3">
      <c r="A5" s="15" t="s">
        <v>121</v>
      </c>
      <c r="B5" s="17" t="s">
        <v>86</v>
      </c>
      <c r="C5" s="37">
        <f>Inputs!B18</f>
        <v>519</v>
      </c>
      <c r="D5" s="44">
        <v>0.7</v>
      </c>
      <c r="E5" s="32">
        <f t="shared" ref="E5:E12" si="0">ROUND(C5*D5,0)</f>
        <v>363</v>
      </c>
      <c r="F5" s="42">
        <f>Normal_Workload!C6</f>
        <v>0.9</v>
      </c>
      <c r="G5" s="32">
        <f t="shared" ref="G5:G12" si="1">ROUND(E5*F5,0)</f>
        <v>327</v>
      </c>
      <c r="H5" s="37">
        <f>Normal_Workload!E6</f>
        <v>18</v>
      </c>
      <c r="I5" s="32">
        <f t="shared" ref="I5:I12" si="2">G5*H5</f>
        <v>5886</v>
      </c>
      <c r="J5" s="38"/>
    </row>
    <row r="6" spans="1:10" ht="15" customHeight="1" x14ac:dyDescent="0.3">
      <c r="A6" s="15"/>
      <c r="B6" s="17" t="s">
        <v>143</v>
      </c>
      <c r="C6" s="37">
        <f>Inputs!B18</f>
        <v>519</v>
      </c>
      <c r="D6" s="44">
        <v>0.3</v>
      </c>
      <c r="E6" s="32">
        <f t="shared" si="0"/>
        <v>156</v>
      </c>
      <c r="F6" s="42">
        <f>MAX(Normal_Workload!C6-0.15, 0)</f>
        <v>0.75</v>
      </c>
      <c r="G6" s="32">
        <f t="shared" si="1"/>
        <v>117</v>
      </c>
      <c r="H6" s="37">
        <f>MAX(Normal_Workload!E6-6,6)</f>
        <v>12</v>
      </c>
      <c r="I6" s="32">
        <f t="shared" si="2"/>
        <v>1404</v>
      </c>
      <c r="J6" s="38"/>
    </row>
    <row r="7" spans="1:10" ht="15" customHeight="1" x14ac:dyDescent="0.3">
      <c r="A7" s="15" t="s">
        <v>122</v>
      </c>
      <c r="B7" s="17" t="s">
        <v>86</v>
      </c>
      <c r="C7" s="37">
        <f>Inputs!B19</f>
        <v>1137</v>
      </c>
      <c r="D7" s="44">
        <v>0.5</v>
      </c>
      <c r="E7" s="32">
        <f t="shared" si="0"/>
        <v>569</v>
      </c>
      <c r="F7" s="42">
        <f>Normal_Workload!C7</f>
        <v>0.75</v>
      </c>
      <c r="G7" s="32">
        <f t="shared" si="1"/>
        <v>427</v>
      </c>
      <c r="H7" s="37">
        <f>Normal_Workload!E7</f>
        <v>12</v>
      </c>
      <c r="I7" s="32">
        <f t="shared" si="2"/>
        <v>5124</v>
      </c>
      <c r="J7" s="38"/>
    </row>
    <row r="8" spans="1:10" ht="15" customHeight="1" x14ac:dyDescent="0.3">
      <c r="A8" s="15"/>
      <c r="B8" s="17" t="s">
        <v>143</v>
      </c>
      <c r="C8" s="37">
        <f>Inputs!B19</f>
        <v>1137</v>
      </c>
      <c r="D8" s="44">
        <v>0.5</v>
      </c>
      <c r="E8" s="32">
        <f t="shared" si="0"/>
        <v>569</v>
      </c>
      <c r="F8" s="42">
        <f>MAX(Normal_Workload!C7-0.15, 0)</f>
        <v>0.6</v>
      </c>
      <c r="G8" s="32">
        <f t="shared" si="1"/>
        <v>341</v>
      </c>
      <c r="H8" s="37">
        <f>MAX(Normal_Workload!E7-6,6)</f>
        <v>6</v>
      </c>
      <c r="I8" s="32">
        <f t="shared" si="2"/>
        <v>2046</v>
      </c>
      <c r="J8" s="38"/>
    </row>
    <row r="9" spans="1:10" ht="15" customHeight="1" x14ac:dyDescent="0.3">
      <c r="A9" s="15" t="s">
        <v>123</v>
      </c>
      <c r="B9" s="17" t="s">
        <v>86</v>
      </c>
      <c r="C9" s="37">
        <f>Inputs!B20</f>
        <v>4657</v>
      </c>
      <c r="D9" s="44">
        <v>0.3</v>
      </c>
      <c r="E9" s="32">
        <f t="shared" si="0"/>
        <v>1397</v>
      </c>
      <c r="F9" s="42">
        <f>Normal_Workload!C8</f>
        <v>0.6</v>
      </c>
      <c r="G9" s="32">
        <f t="shared" si="1"/>
        <v>838</v>
      </c>
      <c r="H9" s="37">
        <f>Normal_Workload!E8</f>
        <v>6</v>
      </c>
      <c r="I9" s="32">
        <f t="shared" si="2"/>
        <v>5028</v>
      </c>
      <c r="J9" s="38"/>
    </row>
    <row r="10" spans="1:10" ht="15" customHeight="1" x14ac:dyDescent="0.3">
      <c r="A10" s="15"/>
      <c r="B10" s="17" t="s">
        <v>143</v>
      </c>
      <c r="C10" s="37">
        <f>Inputs!B20</f>
        <v>4657</v>
      </c>
      <c r="D10" s="44">
        <v>0.7</v>
      </c>
      <c r="E10" s="32">
        <f t="shared" si="0"/>
        <v>3260</v>
      </c>
      <c r="F10" s="42">
        <f>MAX(Normal_Workload!C8-0.15, 0)</f>
        <v>0.44999999999999996</v>
      </c>
      <c r="G10" s="32">
        <f t="shared" si="1"/>
        <v>1467</v>
      </c>
      <c r="H10" s="37">
        <f>MAX(Normal_Workload!E8-6,6)</f>
        <v>6</v>
      </c>
      <c r="I10" s="32">
        <f t="shared" si="2"/>
        <v>8802</v>
      </c>
      <c r="J10" s="38"/>
    </row>
    <row r="11" spans="1:10" ht="15" customHeight="1" x14ac:dyDescent="0.3">
      <c r="A11" s="15" t="s">
        <v>124</v>
      </c>
      <c r="B11" s="17" t="s">
        <v>86</v>
      </c>
      <c r="C11" s="37">
        <f>Inputs!B21</f>
        <v>5827</v>
      </c>
      <c r="D11" s="44">
        <v>0.2</v>
      </c>
      <c r="E11" s="32">
        <f t="shared" si="0"/>
        <v>1165</v>
      </c>
      <c r="F11" s="42">
        <f>Normal_Workload!C9</f>
        <v>0.45</v>
      </c>
      <c r="G11" s="32">
        <f t="shared" si="1"/>
        <v>524</v>
      </c>
      <c r="H11" s="37">
        <f>Normal_Workload!E9</f>
        <v>6</v>
      </c>
      <c r="I11" s="32">
        <f t="shared" si="2"/>
        <v>3144</v>
      </c>
      <c r="J11" s="38"/>
    </row>
    <row r="12" spans="1:10" ht="15" customHeight="1" x14ac:dyDescent="0.3">
      <c r="A12" s="15"/>
      <c r="B12" s="17" t="s">
        <v>143</v>
      </c>
      <c r="C12" s="37">
        <f>Inputs!B21</f>
        <v>5827</v>
      </c>
      <c r="D12" s="44">
        <v>0.8</v>
      </c>
      <c r="E12" s="32">
        <f t="shared" si="0"/>
        <v>4662</v>
      </c>
      <c r="F12" s="42">
        <f>MAX(Normal_Workload!C9-0.15, 0)</f>
        <v>0.30000000000000004</v>
      </c>
      <c r="G12" s="32">
        <f t="shared" si="1"/>
        <v>1399</v>
      </c>
      <c r="H12" s="37">
        <f>MAX(Normal_Workload!E9-6,6)</f>
        <v>6</v>
      </c>
      <c r="I12" s="32">
        <f t="shared" si="2"/>
        <v>8394</v>
      </c>
      <c r="J12" s="38"/>
    </row>
    <row r="13" spans="1:10" ht="15" customHeight="1" x14ac:dyDescent="0.3">
      <c r="A13" s="51" t="s">
        <v>125</v>
      </c>
      <c r="B13" s="51"/>
      <c r="C13" s="51"/>
      <c r="D13" s="51"/>
      <c r="E13" s="51"/>
      <c r="F13" s="32" t="s">
        <v>126</v>
      </c>
      <c r="G13" s="32">
        <f>SUM(G5:G12)</f>
        <v>5440</v>
      </c>
      <c r="H13" s="38" t="s">
        <v>126</v>
      </c>
      <c r="I13" s="32">
        <f>SUM(I5:I12)</f>
        <v>39828</v>
      </c>
      <c r="J13" s="41">
        <f>CEILING(I13/Inputs!B6,1)</f>
        <v>31</v>
      </c>
    </row>
    <row r="14" spans="1:10" ht="15" customHeight="1" x14ac:dyDescent="0.3">
      <c r="H14" s="28">
        <f>J13</f>
        <v>31</v>
      </c>
    </row>
    <row r="16" spans="1:10" ht="15" customHeight="1" x14ac:dyDescent="0.3">
      <c r="A16" s="50" t="s">
        <v>144</v>
      </c>
      <c r="B16" s="50"/>
      <c r="C16" s="50"/>
      <c r="D16" s="50"/>
      <c r="E16" s="50"/>
      <c r="F16" s="50"/>
      <c r="G16" s="50"/>
      <c r="H16" s="50"/>
      <c r="I16" s="50"/>
      <c r="J16" s="50"/>
    </row>
    <row r="17" spans="1:10" ht="15" customHeight="1" x14ac:dyDescent="0.3">
      <c r="A17" s="40" t="s">
        <v>115</v>
      </c>
      <c r="B17" s="40" t="s">
        <v>40</v>
      </c>
      <c r="C17" s="40" t="s">
        <v>116</v>
      </c>
      <c r="D17" s="40" t="s">
        <v>140</v>
      </c>
      <c r="E17" s="40" t="s">
        <v>141</v>
      </c>
      <c r="F17" s="40" t="s">
        <v>117</v>
      </c>
      <c r="G17" s="40" t="s">
        <v>118</v>
      </c>
      <c r="H17" s="40" t="s">
        <v>142</v>
      </c>
      <c r="I17" s="40" t="s">
        <v>120</v>
      </c>
      <c r="J17" s="40" t="s">
        <v>20</v>
      </c>
    </row>
    <row r="18" spans="1:10" ht="15" customHeight="1" x14ac:dyDescent="0.3">
      <c r="A18" s="15" t="s">
        <v>121</v>
      </c>
      <c r="B18" s="17" t="s">
        <v>86</v>
      </c>
      <c r="C18" s="37">
        <f>Inputs!B18</f>
        <v>519</v>
      </c>
      <c r="D18" s="44">
        <v>0.5</v>
      </c>
      <c r="E18" s="32">
        <f t="shared" ref="E18:E25" si="3">ROUND(C18*D18,0)</f>
        <v>260</v>
      </c>
      <c r="F18" s="42">
        <f>Normal_Workload!C6</f>
        <v>0.9</v>
      </c>
      <c r="G18" s="32">
        <f t="shared" ref="G18:G25" si="4">ROUND(E18*F18,0)</f>
        <v>234</v>
      </c>
      <c r="H18" s="37">
        <f>Normal_Workload!E6</f>
        <v>18</v>
      </c>
      <c r="I18" s="32">
        <f t="shared" ref="I18:I25" si="5">G18*H18</f>
        <v>4212</v>
      </c>
      <c r="J18" s="38"/>
    </row>
    <row r="19" spans="1:10" ht="15" customHeight="1" x14ac:dyDescent="0.3">
      <c r="A19" s="15"/>
      <c r="B19" s="17" t="s">
        <v>143</v>
      </c>
      <c r="C19" s="37">
        <f>Inputs!B18</f>
        <v>519</v>
      </c>
      <c r="D19" s="44">
        <v>0.5</v>
      </c>
      <c r="E19" s="32">
        <f t="shared" si="3"/>
        <v>260</v>
      </c>
      <c r="F19" s="42">
        <f>MAX(Normal_Workload!C6-0.15, 0)</f>
        <v>0.75</v>
      </c>
      <c r="G19" s="32">
        <f t="shared" si="4"/>
        <v>195</v>
      </c>
      <c r="H19" s="37">
        <f>MAX(Normal_Workload!E6-6,6)</f>
        <v>12</v>
      </c>
      <c r="I19" s="32">
        <f t="shared" si="5"/>
        <v>2340</v>
      </c>
      <c r="J19" s="38"/>
    </row>
    <row r="20" spans="1:10" ht="15" customHeight="1" x14ac:dyDescent="0.3">
      <c r="A20" s="15" t="s">
        <v>122</v>
      </c>
      <c r="B20" s="17" t="s">
        <v>86</v>
      </c>
      <c r="C20" s="37">
        <f>Inputs!B19</f>
        <v>1137</v>
      </c>
      <c r="D20" s="44">
        <v>0.35</v>
      </c>
      <c r="E20" s="32">
        <f t="shared" si="3"/>
        <v>398</v>
      </c>
      <c r="F20" s="42">
        <f>Normal_Workload!C7</f>
        <v>0.75</v>
      </c>
      <c r="G20" s="32">
        <f t="shared" si="4"/>
        <v>299</v>
      </c>
      <c r="H20" s="37">
        <f>Normal_Workload!E7</f>
        <v>12</v>
      </c>
      <c r="I20" s="32">
        <f t="shared" si="5"/>
        <v>3588</v>
      </c>
      <c r="J20" s="38"/>
    </row>
    <row r="21" spans="1:10" ht="15" customHeight="1" x14ac:dyDescent="0.3">
      <c r="A21" s="15"/>
      <c r="B21" s="17" t="s">
        <v>143</v>
      </c>
      <c r="C21" s="37">
        <f>Inputs!B19</f>
        <v>1137</v>
      </c>
      <c r="D21" s="44">
        <v>0.65</v>
      </c>
      <c r="E21" s="32">
        <f t="shared" si="3"/>
        <v>739</v>
      </c>
      <c r="F21" s="42">
        <f>MAX(Normal_Workload!C7-0.15, 0)</f>
        <v>0.6</v>
      </c>
      <c r="G21" s="32">
        <f t="shared" si="4"/>
        <v>443</v>
      </c>
      <c r="H21" s="37">
        <f>MAX(Normal_Workload!E7-6,6)</f>
        <v>6</v>
      </c>
      <c r="I21" s="32">
        <f t="shared" si="5"/>
        <v>2658</v>
      </c>
      <c r="J21" s="38"/>
    </row>
    <row r="22" spans="1:10" ht="15" customHeight="1" x14ac:dyDescent="0.3">
      <c r="A22" s="15" t="s">
        <v>123</v>
      </c>
      <c r="B22" s="17" t="s">
        <v>86</v>
      </c>
      <c r="C22" s="37">
        <f>Inputs!B20</f>
        <v>4657</v>
      </c>
      <c r="D22" s="44">
        <v>0.25</v>
      </c>
      <c r="E22" s="32">
        <f t="shared" si="3"/>
        <v>1164</v>
      </c>
      <c r="F22" s="42">
        <f>Normal_Workload!C8</f>
        <v>0.6</v>
      </c>
      <c r="G22" s="32">
        <f t="shared" si="4"/>
        <v>698</v>
      </c>
      <c r="H22" s="37">
        <f>Normal_Workload!E8</f>
        <v>6</v>
      </c>
      <c r="I22" s="32">
        <f t="shared" si="5"/>
        <v>4188</v>
      </c>
      <c r="J22" s="38"/>
    </row>
    <row r="23" spans="1:10" ht="15" customHeight="1" x14ac:dyDescent="0.3">
      <c r="A23" s="15"/>
      <c r="B23" s="17" t="s">
        <v>143</v>
      </c>
      <c r="C23" s="37">
        <f>Inputs!B20</f>
        <v>4657</v>
      </c>
      <c r="D23" s="44">
        <v>0.75</v>
      </c>
      <c r="E23" s="32">
        <f t="shared" si="3"/>
        <v>3493</v>
      </c>
      <c r="F23" s="42">
        <f>MAX(Normal_Workload!C8-0.15, 0)</f>
        <v>0.44999999999999996</v>
      </c>
      <c r="G23" s="32">
        <f t="shared" si="4"/>
        <v>1572</v>
      </c>
      <c r="H23" s="37">
        <f>MAX(Normal_Workload!E8-6,6)</f>
        <v>6</v>
      </c>
      <c r="I23" s="32">
        <f t="shared" si="5"/>
        <v>9432</v>
      </c>
      <c r="J23" s="38"/>
    </row>
    <row r="24" spans="1:10" ht="15" customHeight="1" x14ac:dyDescent="0.3">
      <c r="A24" s="15" t="s">
        <v>124</v>
      </c>
      <c r="B24" s="17" t="s">
        <v>86</v>
      </c>
      <c r="C24" s="37">
        <f>Inputs!B21</f>
        <v>5827</v>
      </c>
      <c r="D24" s="44">
        <v>0.15</v>
      </c>
      <c r="E24" s="32">
        <f t="shared" si="3"/>
        <v>874</v>
      </c>
      <c r="F24" s="42">
        <f>Normal_Workload!C9</f>
        <v>0.45</v>
      </c>
      <c r="G24" s="32">
        <f t="shared" si="4"/>
        <v>393</v>
      </c>
      <c r="H24" s="37">
        <f>Normal_Workload!E9</f>
        <v>6</v>
      </c>
      <c r="I24" s="32">
        <f t="shared" si="5"/>
        <v>2358</v>
      </c>
      <c r="J24" s="38"/>
    </row>
    <row r="25" spans="1:10" ht="15" customHeight="1" x14ac:dyDescent="0.3">
      <c r="A25" s="15"/>
      <c r="B25" s="17" t="s">
        <v>143</v>
      </c>
      <c r="C25" s="37">
        <f>Inputs!B21</f>
        <v>5827</v>
      </c>
      <c r="D25" s="44">
        <v>0.85</v>
      </c>
      <c r="E25" s="32">
        <f t="shared" si="3"/>
        <v>4953</v>
      </c>
      <c r="F25" s="42">
        <f>MAX(Normal_Workload!C9-0.15, 0)</f>
        <v>0.30000000000000004</v>
      </c>
      <c r="G25" s="32">
        <f t="shared" si="4"/>
        <v>1486</v>
      </c>
      <c r="H25" s="37">
        <f>MAX(Normal_Workload!E9-6,6)</f>
        <v>6</v>
      </c>
      <c r="I25" s="32">
        <f t="shared" si="5"/>
        <v>8916</v>
      </c>
      <c r="J25" s="38"/>
    </row>
    <row r="26" spans="1:10" ht="15" customHeight="1" x14ac:dyDescent="0.3">
      <c r="A26" s="51" t="s">
        <v>125</v>
      </c>
      <c r="B26" s="51"/>
      <c r="C26" s="51"/>
      <c r="D26" s="51"/>
      <c r="E26" s="51"/>
      <c r="F26" s="32" t="s">
        <v>126</v>
      </c>
      <c r="G26" s="32">
        <f>SUM(G18:G25)</f>
        <v>5320</v>
      </c>
      <c r="H26" s="38" t="s">
        <v>126</v>
      </c>
      <c r="I26" s="32">
        <f>SUM(I18:I25)</f>
        <v>37692</v>
      </c>
      <c r="J26" s="41">
        <f>CEILING(I26/Inputs!B6,1)</f>
        <v>29</v>
      </c>
    </row>
    <row r="27" spans="1:10" ht="15" customHeight="1" x14ac:dyDescent="0.3">
      <c r="H27" s="28">
        <f>J26</f>
        <v>29</v>
      </c>
    </row>
    <row r="29" spans="1:10" ht="15" customHeight="1" x14ac:dyDescent="0.3">
      <c r="A29" s="50" t="s">
        <v>145</v>
      </c>
      <c r="B29" s="50"/>
      <c r="C29" s="50"/>
      <c r="D29" s="50"/>
      <c r="E29" s="50"/>
      <c r="F29" s="50"/>
      <c r="G29" s="50"/>
      <c r="H29" s="50"/>
      <c r="I29" s="50"/>
      <c r="J29" s="50"/>
    </row>
    <row r="30" spans="1:10" ht="15" customHeight="1" x14ac:dyDescent="0.3">
      <c r="A30" s="40" t="s">
        <v>115</v>
      </c>
      <c r="B30" s="40" t="s">
        <v>40</v>
      </c>
      <c r="C30" s="40" t="s">
        <v>116</v>
      </c>
      <c r="D30" s="40" t="s">
        <v>140</v>
      </c>
      <c r="E30" s="40" t="s">
        <v>141</v>
      </c>
      <c r="F30" s="40" t="s">
        <v>117</v>
      </c>
      <c r="G30" s="40" t="s">
        <v>118</v>
      </c>
      <c r="H30" s="40" t="s">
        <v>142</v>
      </c>
      <c r="I30" s="40" t="s">
        <v>120</v>
      </c>
      <c r="J30" s="40" t="s">
        <v>20</v>
      </c>
    </row>
    <row r="31" spans="1:10" ht="15" customHeight="1" x14ac:dyDescent="0.3">
      <c r="A31" s="15" t="s">
        <v>121</v>
      </c>
      <c r="B31" s="17" t="s">
        <v>86</v>
      </c>
      <c r="C31" s="37">
        <f>Inputs!B18</f>
        <v>519</v>
      </c>
      <c r="D31" s="44">
        <v>0.3</v>
      </c>
      <c r="E31" s="32">
        <f t="shared" ref="E31:E38" si="6">ROUND(C31*D31,0)</f>
        <v>156</v>
      </c>
      <c r="F31" s="42">
        <f>Normal_Workload!C6</f>
        <v>0.9</v>
      </c>
      <c r="G31" s="32">
        <f t="shared" ref="G31:G38" si="7">ROUND(E31*F31,0)</f>
        <v>140</v>
      </c>
      <c r="H31" s="37">
        <f>Normal_Workload!E6</f>
        <v>18</v>
      </c>
      <c r="I31" s="32">
        <f t="shared" ref="I31:I38" si="8">G31*H31</f>
        <v>2520</v>
      </c>
      <c r="J31" s="38"/>
    </row>
    <row r="32" spans="1:10" ht="15" customHeight="1" x14ac:dyDescent="0.3">
      <c r="A32" s="15"/>
      <c r="B32" s="17" t="s">
        <v>143</v>
      </c>
      <c r="C32" s="37">
        <f>Inputs!B18</f>
        <v>519</v>
      </c>
      <c r="D32" s="44">
        <v>0.7</v>
      </c>
      <c r="E32" s="32">
        <f t="shared" si="6"/>
        <v>363</v>
      </c>
      <c r="F32" s="42">
        <f>MAX(Normal_Workload!C6-0.15, 0)</f>
        <v>0.75</v>
      </c>
      <c r="G32" s="32">
        <f t="shared" si="7"/>
        <v>272</v>
      </c>
      <c r="H32" s="37">
        <f>MAX(Normal_Workload!E6-6,6)</f>
        <v>12</v>
      </c>
      <c r="I32" s="32">
        <f t="shared" si="8"/>
        <v>3264</v>
      </c>
      <c r="J32" s="38"/>
    </row>
    <row r="33" spans="1:10" ht="15" customHeight="1" x14ac:dyDescent="0.3">
      <c r="A33" s="15" t="s">
        <v>122</v>
      </c>
      <c r="B33" s="17" t="s">
        <v>86</v>
      </c>
      <c r="C33" s="37">
        <f>Inputs!B19</f>
        <v>1137</v>
      </c>
      <c r="D33" s="44">
        <v>0.2</v>
      </c>
      <c r="E33" s="32">
        <f t="shared" si="6"/>
        <v>227</v>
      </c>
      <c r="F33" s="42">
        <f>Normal_Workload!C7</f>
        <v>0.75</v>
      </c>
      <c r="G33" s="32">
        <f t="shared" si="7"/>
        <v>170</v>
      </c>
      <c r="H33" s="37">
        <f>Normal_Workload!E7</f>
        <v>12</v>
      </c>
      <c r="I33" s="32">
        <f t="shared" si="8"/>
        <v>2040</v>
      </c>
      <c r="J33" s="38"/>
    </row>
    <row r="34" spans="1:10" ht="15" customHeight="1" x14ac:dyDescent="0.3">
      <c r="A34" s="15"/>
      <c r="B34" s="17" t="s">
        <v>143</v>
      </c>
      <c r="C34" s="37">
        <f>Inputs!B19</f>
        <v>1137</v>
      </c>
      <c r="D34" s="44">
        <v>0.8</v>
      </c>
      <c r="E34" s="32">
        <f t="shared" si="6"/>
        <v>910</v>
      </c>
      <c r="F34" s="42">
        <f>MAX(Normal_Workload!C7-0.15, 0)</f>
        <v>0.6</v>
      </c>
      <c r="G34" s="32">
        <f t="shared" si="7"/>
        <v>546</v>
      </c>
      <c r="H34" s="37">
        <f>MAX(Normal_Workload!E7-6,6)</f>
        <v>6</v>
      </c>
      <c r="I34" s="32">
        <f t="shared" si="8"/>
        <v>3276</v>
      </c>
      <c r="J34" s="38"/>
    </row>
    <row r="35" spans="1:10" ht="15" customHeight="1" x14ac:dyDescent="0.3">
      <c r="A35" s="15" t="s">
        <v>123</v>
      </c>
      <c r="B35" s="17" t="s">
        <v>86</v>
      </c>
      <c r="C35" s="37">
        <f>Inputs!B20</f>
        <v>4657</v>
      </c>
      <c r="D35" s="44">
        <v>0.15</v>
      </c>
      <c r="E35" s="32">
        <f t="shared" si="6"/>
        <v>699</v>
      </c>
      <c r="F35" s="42">
        <f>Normal_Workload!C8</f>
        <v>0.6</v>
      </c>
      <c r="G35" s="32">
        <f t="shared" si="7"/>
        <v>419</v>
      </c>
      <c r="H35" s="37">
        <f>Normal_Workload!E8</f>
        <v>6</v>
      </c>
      <c r="I35" s="32">
        <f t="shared" si="8"/>
        <v>2514</v>
      </c>
      <c r="J35" s="38"/>
    </row>
    <row r="36" spans="1:10" ht="15" customHeight="1" x14ac:dyDescent="0.3">
      <c r="A36" s="15"/>
      <c r="B36" s="17" t="s">
        <v>143</v>
      </c>
      <c r="C36" s="37">
        <f>Inputs!B20</f>
        <v>4657</v>
      </c>
      <c r="D36" s="44">
        <v>0.85</v>
      </c>
      <c r="E36" s="32">
        <f t="shared" si="6"/>
        <v>3958</v>
      </c>
      <c r="F36" s="42">
        <f>MAX(Normal_Workload!C8-0.15, 0)</f>
        <v>0.44999999999999996</v>
      </c>
      <c r="G36" s="32">
        <f t="shared" si="7"/>
        <v>1781</v>
      </c>
      <c r="H36" s="37">
        <f>MAX(Normal_Workload!E8-6,6)</f>
        <v>6</v>
      </c>
      <c r="I36" s="32">
        <f t="shared" si="8"/>
        <v>10686</v>
      </c>
      <c r="J36" s="38"/>
    </row>
    <row r="37" spans="1:10" ht="15" customHeight="1" x14ac:dyDescent="0.3">
      <c r="A37" s="15" t="s">
        <v>124</v>
      </c>
      <c r="B37" s="17" t="s">
        <v>86</v>
      </c>
      <c r="C37" s="37">
        <f>Inputs!B21</f>
        <v>5827</v>
      </c>
      <c r="D37" s="44">
        <v>0.1</v>
      </c>
      <c r="E37" s="32">
        <f t="shared" si="6"/>
        <v>583</v>
      </c>
      <c r="F37" s="42">
        <f>Normal_Workload!C9</f>
        <v>0.45</v>
      </c>
      <c r="G37" s="32">
        <f t="shared" si="7"/>
        <v>262</v>
      </c>
      <c r="H37" s="37">
        <f>Normal_Workload!E9</f>
        <v>6</v>
      </c>
      <c r="I37" s="32">
        <f t="shared" si="8"/>
        <v>1572</v>
      </c>
      <c r="J37" s="38"/>
    </row>
    <row r="38" spans="1:10" ht="15" customHeight="1" x14ac:dyDescent="0.3">
      <c r="A38" s="15"/>
      <c r="B38" s="17" t="s">
        <v>143</v>
      </c>
      <c r="C38" s="37">
        <f>Inputs!B21</f>
        <v>5827</v>
      </c>
      <c r="D38" s="44">
        <v>0.9</v>
      </c>
      <c r="E38" s="32">
        <f t="shared" si="6"/>
        <v>5244</v>
      </c>
      <c r="F38" s="42">
        <f>MAX(Normal_Workload!C9-0.15, 0)</f>
        <v>0.30000000000000004</v>
      </c>
      <c r="G38" s="32">
        <f t="shared" si="7"/>
        <v>1573</v>
      </c>
      <c r="H38" s="37">
        <f>MAX(Normal_Workload!E9-6,6)</f>
        <v>6</v>
      </c>
      <c r="I38" s="32">
        <f t="shared" si="8"/>
        <v>9438</v>
      </c>
      <c r="J38" s="38"/>
    </row>
    <row r="39" spans="1:10" ht="15" customHeight="1" x14ac:dyDescent="0.3">
      <c r="A39" s="51" t="s">
        <v>125</v>
      </c>
      <c r="B39" s="51"/>
      <c r="C39" s="51"/>
      <c r="D39" s="51"/>
      <c r="E39" s="51"/>
      <c r="F39" s="32" t="s">
        <v>126</v>
      </c>
      <c r="G39" s="32">
        <f>SUM(G31:G38)</f>
        <v>5163</v>
      </c>
      <c r="H39" s="38" t="s">
        <v>126</v>
      </c>
      <c r="I39" s="32">
        <f>SUM(I31:I38)</f>
        <v>35310</v>
      </c>
      <c r="J39" s="41">
        <f>CEILING(I39/Inputs!B6,1)</f>
        <v>27</v>
      </c>
    </row>
    <row r="40" spans="1:10" ht="15" customHeight="1" x14ac:dyDescent="0.3">
      <c r="H40" s="28">
        <f>J39</f>
        <v>27</v>
      </c>
    </row>
  </sheetData>
  <mergeCells count="7">
    <mergeCell ref="A29:J29"/>
    <mergeCell ref="A39:E39"/>
    <mergeCell ref="A1:J1"/>
    <mergeCell ref="A3:J3"/>
    <mergeCell ref="A13:E13"/>
    <mergeCell ref="A16:J16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6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60" customWidth="1"/>
  </cols>
  <sheetData>
    <row r="1" spans="1:2" ht="15.75" customHeight="1" x14ac:dyDescent="0.3">
      <c r="A1" s="6" t="s">
        <v>146</v>
      </c>
      <c r="B1" s="6"/>
    </row>
    <row r="3" spans="1:2" ht="15" customHeight="1" x14ac:dyDescent="0.3">
      <c r="A3" s="5" t="s">
        <v>147</v>
      </c>
      <c r="B3" s="5"/>
    </row>
    <row r="4" spans="1:2" ht="21.75" customHeight="1" x14ac:dyDescent="0.3">
      <c r="A4" s="45" t="s">
        <v>76</v>
      </c>
      <c r="B4" s="46" t="s">
        <v>2</v>
      </c>
    </row>
    <row r="5" spans="1:2" ht="21.75" customHeight="1" x14ac:dyDescent="0.3">
      <c r="A5" s="45" t="s">
        <v>78</v>
      </c>
      <c r="B5" s="46" t="s">
        <v>148</v>
      </c>
    </row>
    <row r="6" spans="1:2" ht="21.75" customHeight="1" x14ac:dyDescent="0.3">
      <c r="A6" s="45" t="s">
        <v>80</v>
      </c>
      <c r="B6" s="46" t="s">
        <v>6</v>
      </c>
    </row>
    <row r="7" spans="1:2" ht="36" customHeight="1" x14ac:dyDescent="0.3">
      <c r="A7" s="45" t="s">
        <v>149</v>
      </c>
      <c r="B7" s="46" t="s">
        <v>150</v>
      </c>
    </row>
    <row r="8" spans="1:2" ht="36" customHeight="1" x14ac:dyDescent="0.3">
      <c r="A8" s="45" t="s">
        <v>151</v>
      </c>
      <c r="B8" s="46" t="s">
        <v>152</v>
      </c>
    </row>
    <row r="9" spans="1:2" ht="36" customHeight="1" x14ac:dyDescent="0.3">
      <c r="A9" s="45" t="s">
        <v>153</v>
      </c>
      <c r="B9" s="46" t="s">
        <v>154</v>
      </c>
    </row>
    <row r="10" spans="1:2" ht="36" customHeight="1" x14ac:dyDescent="0.3">
      <c r="A10" s="45" t="s">
        <v>155</v>
      </c>
      <c r="B10" s="46" t="s">
        <v>156</v>
      </c>
    </row>
    <row r="11" spans="1:2" ht="21.75" customHeight="1" x14ac:dyDescent="0.3">
      <c r="A11" s="45" t="s">
        <v>157</v>
      </c>
      <c r="B11" s="46" t="s">
        <v>158</v>
      </c>
    </row>
    <row r="13" spans="1:2" ht="15" customHeight="1" x14ac:dyDescent="0.3">
      <c r="A13" s="5" t="s">
        <v>159</v>
      </c>
      <c r="B13" s="5"/>
    </row>
    <row r="14" spans="1:2" ht="21.75" customHeight="1" x14ac:dyDescent="0.3">
      <c r="A14" s="45" t="s">
        <v>160</v>
      </c>
      <c r="B14" s="46" t="s">
        <v>161</v>
      </c>
    </row>
    <row r="15" spans="1:2" ht="36" customHeight="1" x14ac:dyDescent="0.3">
      <c r="A15" s="45" t="s">
        <v>162</v>
      </c>
      <c r="B15" s="46" t="s">
        <v>163</v>
      </c>
    </row>
    <row r="16" spans="1:2" ht="36" customHeight="1" x14ac:dyDescent="0.3">
      <c r="A16" s="45" t="s">
        <v>164</v>
      </c>
      <c r="B16" s="46" t="s">
        <v>165</v>
      </c>
    </row>
    <row r="17" spans="1:2" ht="36" customHeight="1" x14ac:dyDescent="0.3">
      <c r="A17" s="45" t="s">
        <v>166</v>
      </c>
      <c r="B17" s="46" t="s">
        <v>167</v>
      </c>
    </row>
    <row r="18" spans="1:2" ht="36" customHeight="1" x14ac:dyDescent="0.3">
      <c r="A18" s="45" t="s">
        <v>168</v>
      </c>
      <c r="B18" s="46" t="s">
        <v>169</v>
      </c>
    </row>
    <row r="19" spans="1:2" ht="21.75" customHeight="1" x14ac:dyDescent="0.3">
      <c r="A19" s="45" t="s">
        <v>170</v>
      </c>
      <c r="B19" s="46" t="s">
        <v>171</v>
      </c>
    </row>
    <row r="20" spans="1:2" ht="36" customHeight="1" x14ac:dyDescent="0.3">
      <c r="A20" s="45" t="s">
        <v>172</v>
      </c>
      <c r="B20" s="46" t="s">
        <v>173</v>
      </c>
    </row>
    <row r="22" spans="1:2" ht="15" customHeight="1" x14ac:dyDescent="0.3">
      <c r="A22" s="5" t="s">
        <v>174</v>
      </c>
      <c r="B22" s="5"/>
    </row>
    <row r="23" spans="1:2" ht="21.75" customHeight="1" x14ac:dyDescent="0.3">
      <c r="A23" s="45" t="s">
        <v>175</v>
      </c>
      <c r="B23" s="46" t="s">
        <v>176</v>
      </c>
    </row>
    <row r="24" spans="1:2" ht="21.75" customHeight="1" x14ac:dyDescent="0.3">
      <c r="A24" s="45" t="s">
        <v>177</v>
      </c>
      <c r="B24" s="46" t="s">
        <v>178</v>
      </c>
    </row>
    <row r="25" spans="1:2" ht="21.75" customHeight="1" x14ac:dyDescent="0.3">
      <c r="A25" s="45" t="s">
        <v>179</v>
      </c>
      <c r="B25" s="46" t="s">
        <v>180</v>
      </c>
    </row>
    <row r="26" spans="1:2" ht="21.75" customHeight="1" x14ac:dyDescent="0.3">
      <c r="A26" s="45" t="s">
        <v>181</v>
      </c>
      <c r="B26" s="46" t="s">
        <v>182</v>
      </c>
    </row>
    <row r="27" spans="1:2" ht="21.75" customHeight="1" x14ac:dyDescent="0.3">
      <c r="A27" s="45" t="s">
        <v>183</v>
      </c>
      <c r="B27" s="46" t="s">
        <v>184</v>
      </c>
    </row>
    <row r="28" spans="1:2" ht="21.75" customHeight="1" x14ac:dyDescent="0.3">
      <c r="A28" s="45" t="s">
        <v>185</v>
      </c>
      <c r="B28" s="46" t="s">
        <v>186</v>
      </c>
    </row>
    <row r="29" spans="1:2" ht="21.75" customHeight="1" x14ac:dyDescent="0.3">
      <c r="A29" s="45" t="s">
        <v>187</v>
      </c>
      <c r="B29" s="46" t="s">
        <v>188</v>
      </c>
    </row>
    <row r="30" spans="1:2" ht="21.75" customHeight="1" x14ac:dyDescent="0.3">
      <c r="A30" s="45" t="s">
        <v>189</v>
      </c>
      <c r="B30" s="46" t="s">
        <v>190</v>
      </c>
    </row>
    <row r="31" spans="1:2" ht="21.75" customHeight="1" x14ac:dyDescent="0.3">
      <c r="A31" s="45" t="s">
        <v>191</v>
      </c>
      <c r="B31" s="46" t="s">
        <v>192</v>
      </c>
    </row>
    <row r="32" spans="1:2" ht="36" customHeight="1" x14ac:dyDescent="0.3">
      <c r="A32" s="45" t="s">
        <v>193</v>
      </c>
      <c r="B32" s="46" t="s">
        <v>194</v>
      </c>
    </row>
    <row r="33" spans="1:2" ht="36" customHeight="1" x14ac:dyDescent="0.3">
      <c r="A33" s="45" t="s">
        <v>195</v>
      </c>
      <c r="B33" s="46" t="s">
        <v>196</v>
      </c>
    </row>
    <row r="34" spans="1:2" ht="36" customHeight="1" x14ac:dyDescent="0.3">
      <c r="A34" s="45" t="s">
        <v>197</v>
      </c>
      <c r="B34" s="46" t="s">
        <v>198</v>
      </c>
    </row>
    <row r="35" spans="1:2" ht="21.75" customHeight="1" x14ac:dyDescent="0.3">
      <c r="A35" s="45" t="s">
        <v>199</v>
      </c>
      <c r="B35" s="46" t="s">
        <v>200</v>
      </c>
    </row>
    <row r="36" spans="1:2" ht="21.75" customHeight="1" x14ac:dyDescent="0.3">
      <c r="A36" s="45" t="s">
        <v>201</v>
      </c>
      <c r="B36" s="46" t="s">
        <v>202</v>
      </c>
    </row>
    <row r="37" spans="1:2" ht="21.75" customHeight="1" x14ac:dyDescent="0.3">
      <c r="A37" s="45" t="s">
        <v>203</v>
      </c>
      <c r="B37" s="46" t="s">
        <v>204</v>
      </c>
    </row>
    <row r="39" spans="1:2" ht="15" customHeight="1" x14ac:dyDescent="0.3">
      <c r="A39" s="5" t="s">
        <v>205</v>
      </c>
      <c r="B39" s="5"/>
    </row>
    <row r="40" spans="1:2" ht="15" customHeight="1" x14ac:dyDescent="0.3">
      <c r="A40" s="47" t="s">
        <v>206</v>
      </c>
      <c r="B40" s="47" t="s">
        <v>207</v>
      </c>
    </row>
    <row r="41" spans="1:2" ht="15" customHeight="1" x14ac:dyDescent="0.3">
      <c r="A41" s="20" t="s">
        <v>24</v>
      </c>
      <c r="B41" s="48">
        <f>IFERROR(Normal_Workload!D10/CEILING(Normal_Workload!F10/Inputs!B6,1),"N/A")</f>
        <v>172.71794871794873</v>
      </c>
    </row>
    <row r="42" spans="1:2" ht="15" customHeight="1" x14ac:dyDescent="0.3">
      <c r="A42" s="20" t="s">
        <v>58</v>
      </c>
      <c r="B42" s="48" t="str">
        <f>IFERROR(Reach_Scenario!D10/CEILING(Reach_Scenario!F10/Inputs!B6,1),"N/A")</f>
        <v>N/A</v>
      </c>
    </row>
    <row r="43" spans="1:2" ht="15" customHeight="1" x14ac:dyDescent="0.3">
      <c r="A43" s="20" t="s">
        <v>59</v>
      </c>
      <c r="B43" s="48" t="str">
        <f>IFERROR(Reach_Scenario!D21/CEILING(Reach_Scenario!F21/Inputs!B6,1),"N/A")</f>
        <v>N/A</v>
      </c>
    </row>
    <row r="44" spans="1:2" ht="15" customHeight="1" x14ac:dyDescent="0.3">
      <c r="A44" s="20" t="s">
        <v>60</v>
      </c>
      <c r="B44" s="48" t="str">
        <f>IFERROR(Reach_Scenario!D32/CEILING(Reach_Scenario!F32/Inputs!B6,1),"N/A")</f>
        <v>N/A</v>
      </c>
    </row>
    <row r="45" spans="1:2" ht="15" customHeight="1" x14ac:dyDescent="0.3">
      <c r="A45" s="20" t="s">
        <v>208</v>
      </c>
      <c r="B45" s="48" t="str">
        <f>IFERROR(Frequency_Scenario!D10/CEILING(Frequency_Scenario!F10/Inputs!B6,1),"N/A")</f>
        <v>N/A</v>
      </c>
    </row>
    <row r="46" spans="1:2" ht="15" customHeight="1" x14ac:dyDescent="0.3">
      <c r="A46" s="20" t="s">
        <v>209</v>
      </c>
      <c r="B46" s="48" t="str">
        <f>IFERROR(Frequency_Scenario!D21/CEILING(Frequency_Scenario!F21/Inputs!B6,1),"N/A")</f>
        <v>N/A</v>
      </c>
    </row>
    <row r="47" spans="1:2" ht="15" customHeight="1" x14ac:dyDescent="0.3">
      <c r="A47" s="20" t="s">
        <v>210</v>
      </c>
      <c r="B47" s="48" t="str">
        <f>IFERROR(Frequency_Scenario!D32/CEILING(Frequency_Scenario!F32/Inputs!B6,1),"N/A")</f>
        <v>N/A</v>
      </c>
    </row>
    <row r="49" spans="1:2" ht="15" customHeight="1" x14ac:dyDescent="0.3">
      <c r="A49" s="5" t="s">
        <v>211</v>
      </c>
      <c r="B49" s="5"/>
    </row>
    <row r="50" spans="1:2" ht="21.75" customHeight="1" x14ac:dyDescent="0.3">
      <c r="A50" s="45" t="s">
        <v>212</v>
      </c>
      <c r="B50" s="46" t="s">
        <v>213</v>
      </c>
    </row>
    <row r="52" spans="1:2" ht="15" customHeight="1" x14ac:dyDescent="0.3">
      <c r="A52" s="5" t="s">
        <v>214</v>
      </c>
      <c r="B52" s="5"/>
    </row>
    <row r="53" spans="1:2" ht="21.75" customHeight="1" x14ac:dyDescent="0.3">
      <c r="A53" s="45" t="s">
        <v>215</v>
      </c>
      <c r="B53" s="46" t="s">
        <v>216</v>
      </c>
    </row>
    <row r="54" spans="1:2" ht="21.75" customHeight="1" x14ac:dyDescent="0.3">
      <c r="A54" s="45" t="s">
        <v>217</v>
      </c>
      <c r="B54" s="46" t="s">
        <v>218</v>
      </c>
    </row>
    <row r="55" spans="1:2" ht="21.75" customHeight="1" x14ac:dyDescent="0.3">
      <c r="A55" s="45" t="s">
        <v>219</v>
      </c>
      <c r="B55" s="46" t="s">
        <v>220</v>
      </c>
    </row>
    <row r="56" spans="1:2" ht="21.75" customHeight="1" x14ac:dyDescent="0.3">
      <c r="A56" s="45" t="s">
        <v>221</v>
      </c>
      <c r="B56" s="46" t="s">
        <v>222</v>
      </c>
    </row>
    <row r="57" spans="1:2" ht="21.75" customHeight="1" x14ac:dyDescent="0.3">
      <c r="A57" s="45" t="s">
        <v>223</v>
      </c>
      <c r="B57" s="46" t="s">
        <v>224</v>
      </c>
    </row>
    <row r="58" spans="1:2" ht="21.75" customHeight="1" x14ac:dyDescent="0.3">
      <c r="A58" s="45" t="s">
        <v>225</v>
      </c>
      <c r="B58" s="46" t="s">
        <v>226</v>
      </c>
    </row>
    <row r="59" spans="1:2" ht="21.75" customHeight="1" x14ac:dyDescent="0.3">
      <c r="A59" s="45" t="s">
        <v>227</v>
      </c>
      <c r="B59" s="46" t="s">
        <v>228</v>
      </c>
    </row>
    <row r="60" spans="1:2" ht="21.75" customHeight="1" x14ac:dyDescent="0.3">
      <c r="A60" s="45" t="s">
        <v>229</v>
      </c>
      <c r="B60" s="46" t="s">
        <v>230</v>
      </c>
    </row>
    <row r="61" spans="1:2" ht="21.75" customHeight="1" x14ac:dyDescent="0.3">
      <c r="A61" s="45" t="s">
        <v>231</v>
      </c>
      <c r="B61" s="46" t="s">
        <v>232</v>
      </c>
    </row>
    <row r="62" spans="1:2" ht="21.75" customHeight="1" x14ac:dyDescent="0.3">
      <c r="A62" s="45" t="s">
        <v>233</v>
      </c>
      <c r="B62" s="46" t="s">
        <v>234</v>
      </c>
    </row>
    <row r="63" spans="1:2" ht="21.75" customHeight="1" x14ac:dyDescent="0.3">
      <c r="A63" s="45" t="s">
        <v>235</v>
      </c>
      <c r="B63" s="46" t="s">
        <v>236</v>
      </c>
    </row>
    <row r="64" spans="1:2" ht="21.75" customHeight="1" x14ac:dyDescent="0.3">
      <c r="A64" s="45" t="s">
        <v>237</v>
      </c>
      <c r="B64" s="46" t="s">
        <v>238</v>
      </c>
    </row>
    <row r="65" spans="1:2" ht="21.75" customHeight="1" x14ac:dyDescent="0.3">
      <c r="A65" s="45" t="s">
        <v>239</v>
      </c>
      <c r="B65" s="46" t="s">
        <v>240</v>
      </c>
    </row>
    <row r="66" spans="1:2" ht="21.75" customHeight="1" x14ac:dyDescent="0.3">
      <c r="A66" s="45" t="s">
        <v>241</v>
      </c>
      <c r="B66" s="46" t="s">
        <v>242</v>
      </c>
    </row>
  </sheetData>
  <mergeCells count="7">
    <mergeCell ref="A49:B49"/>
    <mergeCell ref="A52:B52"/>
    <mergeCell ref="A1:B1"/>
    <mergeCell ref="A3:B3"/>
    <mergeCell ref="A13:B13"/>
    <mergeCell ref="A22:B22"/>
    <mergeCell ref="A39:B3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Inputs</vt:lpstr>
      <vt:lpstr>Normal_Workload</vt:lpstr>
      <vt:lpstr>Reach_Scenario</vt:lpstr>
      <vt:lpstr>Frequency_Scenario</vt:lpstr>
      <vt:lpstr>Segment_Scenario</vt:lpstr>
      <vt:lpstr>Diagnostics_QA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Ruchir Tyagi</cp:lastModifiedBy>
  <cp:revision>3</cp:revision>
  <dcterms:created xsi:type="dcterms:W3CDTF">2026-06-09T07:24:00Z</dcterms:created>
  <dcterms:modified xsi:type="dcterms:W3CDTF">2026-06-09T07:41:41Z</dcterms:modified>
  <dc:language>en-US</dc:language>
</cp:coreProperties>
</file>